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20" yWindow="740" windowWidth="68800" windowHeight="19420" tabRatio="600" firstSheet="0" activeTab="1" autoFilterDateGrouping="1"/>
  </bookViews>
  <sheets>
    <sheet xmlns:r="http://schemas.openxmlformats.org/officeDocument/2006/relationships" name="702" sheetId="1" state="visible" r:id="rId1"/>
    <sheet xmlns:r="http://schemas.openxmlformats.org/officeDocument/2006/relationships" name="G703" sheetId="2" state="visible" r:id="rId2"/>
    <sheet xmlns:r="http://schemas.openxmlformats.org/officeDocument/2006/relationships" name="CP" sheetId="3" state="visible" r:id="rId3"/>
    <sheet xmlns:r="http://schemas.openxmlformats.org/officeDocument/2006/relationships" name="UP" sheetId="4" state="visible" r:id="rId4"/>
    <sheet xmlns:r="http://schemas.openxmlformats.org/officeDocument/2006/relationships" name="CF" sheetId="5" state="visible" r:id="rId5"/>
    <sheet xmlns:r="http://schemas.openxmlformats.org/officeDocument/2006/relationships" name="UF" sheetId="6" state="visible" r:id="rId6"/>
    <sheet xmlns:r="http://schemas.openxmlformats.org/officeDocument/2006/relationships" name="Prelim Sheet" sheetId="7" state="visible" r:id="rId7"/>
  </sheets>
  <definedNames>
    <definedName name="_Order1" hidden="1">0</definedName>
    <definedName name="_PG1">#REF!</definedName>
    <definedName name="_PG3">#REF!</definedName>
    <definedName name="_Regression_Int">1</definedName>
    <definedName name="\p">#REF!</definedName>
    <definedName name="aaa" hidden="1">{#N/A,#N/A,TRUE,"toc";#N/A,#N/A,TRUE,"geninfo";#N/A,#N/A,TRUE,"finsum";#N/A,#N/A,TRUE,"source";#N/A,#N/A,TRUE,"cash";#N/A,#N/A,TRUE,"3%";#N/A,#N/A,TRUE,"tax";#N/A,#N/A,TRUE,"benefits";#N/A,#N/A,TRUE,"loan2";#N/A,#N/A,TRUE,"ALLDEBT";#N/A,#N/A,TRUE,"deprec";#N/A,#N/A,TRUE,"funded";#N/A,#N/A,TRUE,"Exit";#N/A,#N/A,TRUE,"TAXCREDITS";#N/A,#N/A,TRUE,"Residual";#N/A,#N/A,TRUE,"capacct";#N/A,#N/A,TRUE,"IRR";#N/A,#N/A,TRUE,"data3";#N/A,#N/A,TRUE,"base";#N/A,#N/A,TRUE,"mtcash";#N/A,#N/A,TRUE,"mttax";#N/A,#N/A,TRUE,"mtbenefits";#N/A,#N/A,TRUE,"repres";#N/A,#N/A,TRUE,"mtdeprec";#N/A,#N/A,TRUE,"mezzanine"}</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Advanced">#REF!</definedName>
    <definedName name="alhambra"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Alphabet">#REF!</definedName>
    <definedName name="b" hidden="1">{"mgmt forecast",#N/A,FALSE,"Mgmt Forecast";"dcf table",#N/A,FALSE,"Mgmt Forecast";"sensitivity",#N/A,FALSE,"Mgmt Forecast";"table inputs",#N/A,FALSE,"Mgmt Forecast";"calculations",#N/A,FALSE,"Mgmt Forecast"}</definedName>
    <definedName name="Bank">#REF!</definedName>
    <definedName name="Canada">#REF!</definedName>
    <definedName name="Catagory">#REF!</definedName>
    <definedName name="CBG"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CHANDRA"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CHANDRA1" hidden="1">{#N/A,#N/A,TRUE,"toc";#N/A,#N/A,TRUE,"geninfo";#N/A,#N/A,TRUE,"finsum";#N/A,#N/A,TRUE,"source";#N/A,#N/A,TRUE,"cash";#N/A,#N/A,TRUE,"3%";#N/A,#N/A,TRUE,"tax";#N/A,#N/A,TRUE,"benefits";#N/A,#N/A,TRUE,"loan2";#N/A,#N/A,TRUE,"ALLDEBT";#N/A,#N/A,TRUE,"deprec";#N/A,#N/A,TRUE,"funded";#N/A,#N/A,TRUE,"Exit";#N/A,#N/A,TRUE,"TAXCREDITS";#N/A,#N/A,TRUE,"Residual";#N/A,#N/A,TRUE,"capacct";#N/A,#N/A,TRUE,"IRR";#N/A,#N/A,TRUE,"data3";#N/A,#N/A,TRUE,"base";#N/A,#N/A,TRUE,"mtcash";#N/A,#N/A,TRUE,"mttax";#N/A,#N/A,TRUE,"mtbenefits";#N/A,#N/A,TRUE,"repres";#N/A,#N/A,TRUE,"mtdeprec";#N/A,#N/A,TRUE,"mezzanine"}</definedName>
    <definedName name="CHANDRA2"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CHANDRA3" hidden="1">{#N/A,#N/A,TRUE,"toc";#N/A,#N/A,TRUE,"geninfo";#N/A,#N/A,TRUE,"finsum";#N/A,#N/A,TRUE,"source";#N/A,#N/A,TRUE,"cash";#N/A,#N/A,TRUE,"3%";#N/A,#N/A,TRUE,"tax";#N/A,#N/A,TRUE,"benefits";#N/A,#N/A,TRUE,"loan2";#N/A,#N/A,TRUE,"ALLDEBT";#N/A,#N/A,TRUE,"deprec";#N/A,#N/A,TRUE,"funded";#N/A,#N/A,TRUE,"Exit";#N/A,#N/A,TRUE,"TAXCREDITS";#N/A,#N/A,TRUE,"Residual";#N/A,#N/A,TRUE,"capacct";#N/A,#N/A,TRUE,"IRR";#N/A,#N/A,TRUE,"data3";#N/A,#N/A,TRUE,"base";#N/A,#N/A,TRUE,"mtcash";#N/A,#N/A,TRUE,"mttax";#N/A,#N/A,TRUE,"mtbenefits";#N/A,#N/A,TRUE,"repres";#N/A,#N/A,TRUE,"mtdeprec";#N/A,#N/A,TRUE,"mezzanine"}</definedName>
    <definedName name="chang"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CHANG2"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Check">#REF!</definedName>
    <definedName name="code">#REF!</definedName>
    <definedName name="COmmercial" hidden="1">{#N/A,#N/A,TRUE,"Rental Divn";#N/A,#N/A,TRUE,"W-L Consolidated";#N/A,#N/A,TRUE,"Condo Divn";#N/A,#N/A,TRUE,"Capital Budget"}</definedName>
    <definedName name="Construction_Contingency">#REF!</definedName>
    <definedName name="d">#REF!</definedName>
    <definedName name="DACF" hidden="1">{"mgmt forecast",#N/A,FALSE,"Mgmt Forecast";"dcf table",#N/A,FALSE,"Mgmt Forecast";"sensitivity",#N/A,FALSE,"Mgmt Forecast";"table inputs",#N/A,FALSE,"Mgmt Forecast";"calculations",#N/A,FALSE,"Mgmt Forecast"}</definedName>
    <definedName name="DallasCorp" hidden="1">{#N/A,#N/A,TRUE,"Rental Divn";#N/A,#N/A,TRUE,"W-L Consolidated";#N/A,#N/A,TRUE,"Condo Divn";#N/A,#N/A,TRUE,"Capital Budget"}</definedName>
    <definedName name="details_14">#REF!</definedName>
    <definedName name="details_21">#REF!</definedName>
    <definedName name="details_30">#REF!</definedName>
    <definedName name="details_60">#REF!</definedName>
    <definedName name="details_7">#REF!</definedName>
    <definedName name="details_past">#REF!</definedName>
    <definedName name="eee" hidden="1">{#N/A,#N/A,TRUE,"toc";#N/A,#N/A,TRUE,"geninfo";#N/A,#N/A,TRUE,"finsum";#N/A,#N/A,TRUE,"source";#N/A,#N/A,TRUE,"cash";#N/A,#N/A,TRUE,"3%";#N/A,#N/A,TRUE,"tax";#N/A,#N/A,TRUE,"benefits";#N/A,#N/A,TRUE,"loan2";#N/A,#N/A,TRUE,"ALLDEBT";#N/A,#N/A,TRUE,"deprec";#N/A,#N/A,TRUE,"funded";#N/A,#N/A,TRUE,"Exit";#N/A,#N/A,TRUE,"TAXCREDITS";#N/A,#N/A,TRUE,"Residual";#N/A,#N/A,TRUE,"capacct";#N/A,#N/A,TRUE,"IRR";#N/A,#N/A,TRUE,"data3";#N/A,#N/A,TRUE,"base";#N/A,#N/A,TRUE,"mtcash";#N/A,#N/A,TRUE,"mttax";#N/A,#N/A,TRUE,"mtbenefits";#N/A,#N/A,TRUE,"repres";#N/A,#N/A,TRUE,"mtdeprec";#N/A,#N/A,TRUE,"mezzanine"}</definedName>
    <definedName name="Electrical_Vault">#REF!</definedName>
    <definedName name="Escalation">#REF!</definedName>
    <definedName name="g" hidden="1">{"mgmt forecast",#N/A,FALSE,"Mgmt Forecast";"dcf table",#N/A,FALSE,"Mgmt Forecast";"sensitivity",#N/A,FALSE,"Mgmt Forecast";"table inputs",#N/A,FALSE,"Mgmt Forecast";"calculations",#N/A,FALSE,"Mgmt Forecast"}</definedName>
    <definedName name="GRAND">'G703'!$A$77</definedName>
    <definedName name="hallwood"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HardCost">#REF!</definedName>
    <definedName name="HARMONY"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hhh"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HPM"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IndirectHardCost">#REF!</definedName>
    <definedName name="Invoice_Detail_Amount">#REF!</definedName>
    <definedName name="Invoice_Detail_Approved">#REF!</definedName>
    <definedName name="Invoice_Detail_Code">#REF!</definedName>
    <definedName name="Invoice_Detail_Draw">#REF!</definedName>
    <definedName name="InvoiceDetail_Notes">#REF!</definedName>
    <definedName name="Loan_Detail_Mat_Due_14">#REF!</definedName>
    <definedName name="Loan_Detail_Mat_Due_21">#REF!</definedName>
    <definedName name="Loan_Detail_Mat_Due_30">#REF!</definedName>
    <definedName name="Loan_Detail_Mat_Due_60">#REF!</definedName>
    <definedName name="Loan_Detail_Mat_Due_7">#REF!</definedName>
    <definedName name="Loan_Detail_Mat_Past_Due">#REF!</definedName>
    <definedName name="me"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meyer" hidden="1">{#N/A,#N/A,TRUE,"toc";#N/A,#N/A,TRUE,"geninfo";#N/A,#N/A,TRUE,"finsum";#N/A,#N/A,TRUE,"source";#N/A,#N/A,TRUE,"cash";#N/A,#N/A,TRUE,"3%";#N/A,#N/A,TRUE,"tax";#N/A,#N/A,TRUE,"benefits";#N/A,#N/A,TRUE,"loan2";#N/A,#N/A,TRUE,"ALLDEBT";#N/A,#N/A,TRUE,"deprec";#N/A,#N/A,TRUE,"funded";#N/A,#N/A,TRUE,"Exit";#N/A,#N/A,TRUE,"TAXCREDITS";#N/A,#N/A,TRUE,"Residual";#N/A,#N/A,TRUE,"capacct";#N/A,#N/A,TRUE,"IRR";#N/A,#N/A,TRUE,"data3";#N/A,#N/A,TRUE,"base";#N/A,#N/A,TRUE,"mtcash";#N/A,#N/A,TRUE,"mttax";#N/A,#N/A,TRUE,"mtbenefits";#N/A,#N/A,TRUE,"repres";#N/A,#N/A,TRUE,"mtdeprec";#N/A,#N/A,TRUE,"mezzanine"}</definedName>
    <definedName name="meyer2"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misc" hidden="1">{#N/A,#N/A,TRUE,"toc";#N/A,#N/A,TRUE,"geninfo";#N/A,#N/A,TRUE,"finsum";#N/A,#N/A,TRUE,"source";#N/A,#N/A,TRUE,"cash";#N/A,#N/A,TRUE,"3%";#N/A,#N/A,TRUE,"tax";#N/A,#N/A,TRUE,"benefits";#N/A,#N/A,TRUE,"loan2";#N/A,#N/A,TRUE,"ALLDEBT";#N/A,#N/A,TRUE,"deprec";#N/A,#N/A,TRUE,"funded";#N/A,#N/A,TRUE,"Exit";#N/A,#N/A,TRUE,"TAXCREDITS";#N/A,#N/A,TRUE,"Residual";#N/A,#N/A,TRUE,"capacct";#N/A,#N/A,TRUE,"IRR";#N/A,#N/A,TRUE,"data3";#N/A,#N/A,TRUE,"base";#N/A,#N/A,TRUE,"mtcash";#N/A,#N/A,TRUE,"mttax";#N/A,#N/A,TRUE,"mtbenefits";#N/A,#N/A,TRUE,"repres";#N/A,#N/A,TRUE,"mtdeprec";#N/A,#N/A,TRUE,"mezzanine"}</definedName>
    <definedName name="misc1"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miscellaneous" hidden="1">{#N/A,#N/A,TRUE,"toc";#N/A,#N/A,TRUE,"geninfo";#N/A,#N/A,TRUE,"finsum";#N/A,#N/A,TRUE,"source";#N/A,#N/A,TRUE,"cash";#N/A,#N/A,TRUE,"3%";#N/A,#N/A,TRUE,"tax";#N/A,#N/A,TRUE,"benefits";#N/A,#N/A,TRUE,"loan2";#N/A,#N/A,TRUE,"ALLDEBT";#N/A,#N/A,TRUE,"deprec";#N/A,#N/A,TRUE,"funded";#N/A,#N/A,TRUE,"Exit";#N/A,#N/A,TRUE,"TAXCREDITS";#N/A,#N/A,TRUE,"Residual";#N/A,#N/A,TRUE,"capacct";#N/A,#N/A,TRUE,"IRR";#N/A,#N/A,TRUE,"data3";#N/A,#N/A,TRUE,"base";#N/A,#N/A,TRUE,"mtcash";#N/A,#N/A,TRUE,"mttax";#N/A,#N/A,TRUE,"mtbenefits";#N/A,#N/A,TRUE,"repres";#N/A,#N/A,TRUE,"mtdeprec";#N/A,#N/A,TRUE,"mezzanine"}</definedName>
    <definedName name="miscellaneous1"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nn"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Phase">#REF!</definedName>
    <definedName name="Print_Area_MI">'702'!$A$3:$I$34</definedName>
    <definedName name="Print_Titles_MI">'702'!$47:$354,'702'!$B:$CV</definedName>
    <definedName name="PRLOANTHREE">#REF!</definedName>
    <definedName name="PROPDATATHREE">#REF!</definedName>
    <definedName name="q" hidden="1">{"mgmt forecast",#N/A,FALSE,"Mgmt Forecast";"dcf table",#N/A,FALSE,"Mgmt Forecast";"sensitivity",#N/A,FALSE,"Mgmt Forecast";"table inputs",#N/A,FALSE,"Mgmt Forecast";"calculations",#N/A,FALSE,"Mgmt Forecast"}</definedName>
    <definedName name="Reall_Amount">#REF!</definedName>
    <definedName name="Reall_Amt">#REF!</definedName>
    <definedName name="Reall_Approved">#REF!</definedName>
    <definedName name="Reall_Code">#REF!</definedName>
    <definedName name="Reall_Draw">#REF!</definedName>
    <definedName name="Reall_Num">#REF!</definedName>
    <definedName name="s">#REF!</definedName>
    <definedName name="Sensitivity" hidden="1">{"mgmt forecast",#N/A,FALSE,"Mgmt Forecast";"dcf table",#N/A,FALSE,"Mgmt Forecast";"sensitivity",#N/A,FALSE,"Mgmt Forecast";"table inputs",#N/A,FALSE,"Mgmt Forecast";"calculations",#N/A,FALSE,"Mgmt Forecast"}</definedName>
    <definedName name="Service_Provider">#REF!</definedName>
    <definedName name="SoftCost">#REF!</definedName>
    <definedName name="Spacialties">#REF!</definedName>
    <definedName name="SS" hidden="1">{#N/A,#N/A,FALSE,"Summary Schedule Heller Ltd";#N/A,#N/A,FALSE,"Qtrly  heller Page 1";#N/A,#N/A,FALSE,"Qtrly heller Page 3"}</definedName>
    <definedName name="Status_Summary_Coding">#REF!</definedName>
    <definedName name="tax_14">#REF!</definedName>
    <definedName name="tax_21">#REF!</definedName>
    <definedName name="tax_30">#REF!</definedName>
    <definedName name="tax_60">#REF!</definedName>
    <definedName name="tax_7">#REF!</definedName>
    <definedName name="tax_past">#REF!</definedName>
    <definedName name="Temporary_Fence">#REF!</definedName>
    <definedName name="Tenant_Improvement">#REF!</definedName>
    <definedName name="test"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Testing_and_Inspection">#REF!</definedName>
    <definedName name="Tower_Crane_and_Man_Lift">#REF!</definedName>
    <definedName name="UFONDU"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Unadvanced">#REF!</definedName>
    <definedName name="URBAN"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URBAN1"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URBAN2"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URBAN3"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USA">#REF!</definedName>
    <definedName name="VacancyRate">#REF!</definedName>
    <definedName name="value1" hidden="1">{#N/A,#N/A,FALSE,"Cashflow Analysis";#N/A,#N/A,FALSE,"Sensitivity Analysis";#N/A,#N/A,FALSE,"PV";#N/A,#N/A,FALSE,"Pro Forma"}</definedName>
    <definedName name="vv" hidden="1">{"mgmt forecast",#N/A,FALSE,"Mgmt Forecast";"dcf table",#N/A,FALSE,"Mgmt Forecast";"sensitivity",#N/A,FALSE,"Mgmt Forecast";"table inputs",#N/A,FALSE,"Mgmt Forecast";"calculations",#N/A,FALSE,"Mgmt Forecast"}</definedName>
    <definedName name="vz" hidden="1">{"mgmt forecast",#N/A,FALSE,"Mgmt Forecast";"dcf table",#N/A,FALSE,"Mgmt Forecast";"sensitivity",#N/A,FALSE,"Mgmt Forecast";"table inputs",#N/A,FALSE,"Mgmt Forecast";"calculations",#N/A,FALSE,"Mgmt Forecast"}</definedName>
    <definedName name="vzx" hidden="1">{"mgmt forecast",#N/A,FALSE,"Mgmt Forecast";"dcf table",#N/A,FALSE,"Mgmt Forecast";"sensitivity",#N/A,FALSE,"Mgmt Forecast";"table inputs",#N/A,FALSE,"Mgmt Forecast";"calculations",#N/A,FALSE,"Mgmt Forecast"}</definedName>
    <definedName name="wrn.AL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CDA."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ontribution." hidden="1">{#N/A,#N/A,FALSE,"Contribution Analysis"}</definedName>
    <definedName name="wrn.contribution.1" hidden="1">{#N/A,#N/A,FALSE,"Contribution Analysis"}</definedName>
    <definedName name="wrn.csc." hidden="1">{"orixcsc",#N/A,FALSE,"ORIX CSC";"orixcsc2",#N/A,FALSE,"ORIX CSC"}</definedName>
    <definedName name="wrn.csc.1" hidden="1">{"orixcsc",#N/A,FALSE,"ORIX CSC";"orixcsc2",#N/A,FALSE,"ORIX CSC"}</definedName>
    <definedName name="wrn.csc.3" hidden="1">{#N/A,#N/A,FALSE,"ORIX CSC"}</definedName>
    <definedName name="wrn.csc2." hidden="1">{#N/A,#N/A,FALSE,"ORIX CSC"}</definedName>
    <definedName name="wrn.dcf." hidden="1">{"mgmt forecast",#N/A,FALSE,"Mgmt Forecast";"dcf table",#N/A,FALSE,"Mgmt Forecast";"sensitivity",#N/A,FALSE,"Mgmt Forecast";"table inputs",#N/A,FALSE,"Mgmt Forecast";"calculations",#N/A,FALSE,"Mgmt Forecast"}</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Financial._.Reports." hidden="1">{#N/A,#N/A,FALSE,"Overview";#N/A,#N/A,FALSE,"santafe";#N/A,#N/A,FALSE,"noble";#N/A,#N/A,FALSE,"Combined Results";#N/A,#N/A,FALSE,"Earnings"}</definedName>
    <definedName name="wrn.Fleet." hidden="1">{"FleetDetailsNE",#N/A,FALSE,"NEForecast"}</definedName>
    <definedName name="wrn.full._.budget." hidden="1">{#N/A,#N/A,TRUE,"Rental Divn";#N/A,#N/A,TRUE,"W-L Consolidated";#N/A,#N/A,TRUE,"Condo Divn";#N/A,#N/A,TRUE,"Capital Budget"}</definedName>
    <definedName name="wrn.Full._.Print."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wrn.MERGER._.PLANS." hidden="1">{"Assumptions1",#N/A,FALSE,"Assumptions";"MergerPlans1","20yearamort",FALSE,"MergerPlans";"MergerPlans1","40yearamort",FALSE,"MergerPlans";"MergerPlans2",#N/A,FALSE,"MergerPlans";"inputs",#N/A,FALSE,"MergerPlans"}</definedName>
    <definedName name="wrn.Overview._.Reports." hidden="1">{#N/A,#N/A,FALSE,"DCF Values";#N/A,#N/A,FALSE,"Overview";#N/A,#N/A,FALSE,"Earnings";#N/A,#N/A,FALSE,"StockMarketValues";#N/A,#N/A,FALSE,"Asset Values";#N/A,#N/A,FALSE,"Accretion EPS";#N/A,#N/A,FALSE,"Accretion CFPS";#N/A,#N/A,FALSE,"santafe";#N/A,#N/A,FALSE,"noble";#N/A,#N/A,FALSE,"Combined Results"}</definedName>
    <definedName name="wrn.Print_Heller." hidden="1">{#N/A,#N/A,TRUE,"Summary Schedule Heller";#N/A,#N/A,TRUE,"Qtrly  heller Page 1";#N/A,#N/A,TRUE,"Qtrly heller Page 2";#N/A,#N/A,TRUE,"Qtrly heller Page 2A";#N/A,#N/A,TRUE,"Qtrly heller Page 3";#N/A,#N/A,TRUE,"Qtrly heller Page 3A";#N/A,#N/A,TRUE,"Summary Schedule Heller Ltd";#N/A,#N/A,TRUE,"Qtrly  heller 4 yr"}</definedName>
    <definedName name="wrn.Print." hidden="1">{#N/A,#N/A,TRUE,"toc";#N/A,#N/A,TRUE,"geninfo";#N/A,#N/A,TRUE,"finsum";#N/A,#N/A,TRUE,"source";#N/A,#N/A,TRUE,"cash";#N/A,#N/A,TRUE,"3%";#N/A,#N/A,TRUE,"tax";#N/A,#N/A,TRUE,"benefits";#N/A,#N/A,TRUE,"loan2";#N/A,#N/A,TRUE,"ALLDEBT";#N/A,#N/A,TRUE,"deprec";#N/A,#N/A,TRUE,"funded";#N/A,#N/A,TRUE,"Exit";#N/A,#N/A,TRUE,"TAXCREDITS";#N/A,#N/A,TRUE,"Residual";#N/A,#N/A,TRUE,"capacct";#N/A,#N/A,TRUE,"IRR";#N/A,#N/A,TRUE,"data3";#N/A,#N/A,TRUE,"base";#N/A,#N/A,TRUE,"mtcash";#N/A,#N/A,TRUE,"mttax";#N/A,#N/A,TRUE,"mtbenefits";#N/A,#N/A,TRUE,"repres";#N/A,#N/A,TRUE,"mtdeprec";#N/A,#N/A,TRUE,"mezzanine"}</definedName>
    <definedName name="wrn.Print._.Ltd._.Ptr._.Heller." hidden="1">{#N/A,#N/A,FALSE,"Summary Schedule Heller Ltd";#N/A,#N/A,FALSE,"Qtrly  heller Page 1";#N/A,#N/A,FALSE,"Qtrly heller Page 3"}</definedName>
    <definedName name="wrn.print._.standalone." hidden="1">{"standalone1",#N/A,FALSE,"DCFBase";"standalone2",#N/A,FALSE,"DCFBase"}</definedName>
    <definedName name="wrn.Print._.sum." hidden="1">{#N/A,#N/A,FALSE,"Summary Schedule";#N/A,#N/A,FALSE,"Use of Proceeds";#N/A,#N/A,FALSE,"Yield Cal";#N/A,#N/A,FALSE,"Qtrly Distributions";#N/A,#N/A,FALSE,"RATE";#N/A,#N/A,FALSE,"OPERATIONS";#N/A,#N/A,FALSE,"Draw";#N/A,#N/A,FALSE,"COMPARISON SCHEDULE";#N/A,#N/A,FALSE,"Dev. Budget";#N/A,#N/A,FALSE,"Investor10";#N/A,#N/A,FALSE,"10 year a";#N/A,#N/A,FALSE,"Assum."}</definedName>
    <definedName name="wrn.Report." hidden="1">{#N/A,#N/A,FALSE,"Loan Summary";#N/A,#N/A,FALSE,"NOI";"RR and Expir",#N/A,FALSE,"Rental";"Sales History",#N/A,FALSE,"Rental";#N/A,#N/A,FALSE,"Reserves"}</definedName>
    <definedName name="wrn.SKSCS1." hidden="1">{#N/A,#N/A,FALSE,"Antony Financials";#N/A,#N/A,FALSE,"Cowboy Financials";#N/A,#N/A,FALSE,"Combined";#N/A,#N/A,FALSE,"Valuematrix";#N/A,#N/A,FALSE,"DCFAntony";#N/A,#N/A,FALSE,"DCFCowboy";#N/A,#N/A,FALSE,"DCFCombined"}</definedName>
    <definedName name="wrn.Standard._.Report." hidden="1">{#N/A,#N/A,FALSE,"Summary";#N/A,#N/A,FALSE,"Construction";#N/A,#N/A,FALSE,"Cash Flow"}</definedName>
    <definedName name="wrn.summary." hidden="1">{#N/A,#N/A,FALSE,"Sheet1";#N/A,#N/A,FALSE,"Summary Schedule";#N/A,#N/A,FALSE,"Use of Proceeds";#N/A,#N/A,FALSE,"Yield Cal";#N/A,#N/A,FALSE,"Qtrly Distributions";#N/A,#N/A,FALSE,"OPERATIONS"}</definedName>
    <definedName name="wrn.SummaryPgs." hidden="1">{#N/A,#N/A,FALSE,"CreditStat";#N/A,#N/A,FALSE,"SPbrkup";#N/A,#N/A,FALSE,"MerSPsyn";#N/A,#N/A,FALSE,"MerSPwKCsyn";#N/A,#N/A,FALSE,"MerSPwKCsyn (2)";#N/A,#N/A,FALSE,"CreditStat (2)"}</definedName>
    <definedName name="wrn.Template." hidden="1">{#N/A,#N/A,FALSE,"1_Executive Summary";#N/A,#N/A,FALSE,"2_Assumptions";#N/A,#N/A,FALSE,"3_Footnotes";#N/A,#N/A,FALSE,"4_Cash Flow";#N/A,#N/A,FALSE,"5_Exp Detail";#N/A,#N/A,FALSE,"6_Residual - Marketing";#N/A,#N/A,FALSE,"7_Residual Matrix";#N/A,#N/A,FALSE,"8_Pricing Matrix";#N/A,#N/A,FALSE,"9_Value Matrix";#N/A,#N/A,FALSE,"10_Vacancy Detail";#N/A,#N/A,FALSE,"12_Expiration Schedule";#N/A,#N/A,FALSE,"13_Exp Analysis Fixed-Var";#N/A,#N/A,FALSE,"14_Existing vs Mkt"}</definedName>
    <definedName name="wrn.Total._.Model." hidden="1">{#N/A,#N/A,FALSE,"Summary";#N/A,#N/A,FALSE,"Structure";#N/A,#N/A,FALSE,"toc";#N/A,#N/A,FALSE,"data1";#N/A,#N/A,FALSE,"financing";#N/A,#N/A,FALSE,"source";#N/A,#N/A,FALSE,"cash";#N/A,#N/A,FALSE,"tax";#N/A,#N/A,FALSE,"ben";#N/A,#N/A,FALSE,"rep";#N/A,#N/A,FALSE,"ln2";#N/A,#N/A,FALSE,"ln4";#N/A,#N/A,FALSE,"depr";#N/A,#N/A,FALSE,"funded";#N/A,#N/A,FALSE,"fedtc";#N/A,#N/A,FALSE,"mingain";#N/A,#N/A,FALSE,"mtdata1";#N/A,#N/A,FALSE,"base";#N/A,#N/A,FALSE,"mtsource";#N/A,#N/A,FALSE,"OpAssumpt";#N/A,#N/A,FALSE,"mtcash";#N/A,#N/A,FALSE,"mttax";#N/A,#N/A,FALSE,"sale";#N/A,#N/A,FALSE,"tcamort"}</definedName>
    <definedName name="wrn.Tweety." hidden="1">{#N/A,#N/A,FALSE,"A&amp;E";#N/A,#N/A,FALSE,"HighTop";#N/A,#N/A,FALSE,"JG";#N/A,#N/A,FALSE,"RI";#N/A,#N/A,FALSE,"woHT";#N/A,#N/A,FALSE,"woHT&amp;JG"}</definedName>
    <definedName name="wrn.Value." hidden="1">{#N/A,#N/A,FALSE,"Cashflow Analysis";#N/A,#N/A,FALSE,"Sensitivity Analysis";#N/A,#N/A,FALSE,"PV";#N/A,#N/A,FALSE,"Pro Forma"}</definedName>
    <definedName name="www"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x" hidden="1">{"mgmt forecast",#N/A,FALSE,"Mgmt Forecast";"dcf table",#N/A,FALSE,"Mgmt Forecast";"sensitivity",#N/A,FALSE,"Mgmt Forecast";"table inputs",#N/A,FALSE,"Mgmt Forecast";"calculations",#N/A,FALSE,"Mgmt Forecast"}</definedName>
    <definedName name="xxxx" hidden="1">{"mgmt forecast",#N/A,FALSE,"Mgmt Forecast";"dcf table",#N/A,FALSE,"Mgmt Forecast";"sensitivity",#N/A,FALSE,"Mgmt Forecast";"table inputs",#N/A,FALSE,"Mgmt Forecast";"calculations",#N/A,FALSE,"Mgmt Forecast"}</definedName>
    <definedName name="y" hidden="1">{"mgmt forecast",#N/A,FALSE,"Mgmt Forecast";"dcf table",#N/A,FALSE,"Mgmt Forecast";"sensitivity",#N/A,FALSE,"Mgmt Forecast";"table inputs",#N/A,FALSE,"Mgmt Forecast";"calculations",#N/A,FALSE,"Mgmt Forecast"}</definedName>
    <definedName name="Z_EDB80B0B_148D_403E_8E1F_4A2794D90781_.wvu.Cols" hidden="1">#REF!,#REF!</definedName>
    <definedName name="Z_EDB80B0B_148D_403E_8E1F_4A2794D90781_.wvu.PrintArea" hidden="1">#REF!</definedName>
    <definedName name="Z_EDB80B0B_148D_403E_8E1F_4A2794D90781_.wvu.PrintTitles" hidden="1">#REF!</definedName>
    <definedName name="Z_EDB80B0B_148D_403E_8E1F_4A2794D90781_.wvu.Rows" hidden="1">#REF!</definedName>
    <definedName name="zxc" hidden="1">{"mgmt forecast",#N/A,FALSE,"Mgmt Forecast";"dcf table",#N/A,FALSE,"Mgmt Forecast";"sensitivity",#N/A,FALSE,"Mgmt Forecast";"table inputs",#N/A,FALSE,"Mgmt Forecast";"calculations",#N/A,FALSE,"Mgmt Forecast"}</definedName>
    <definedName name="_Regression_Int" localSheetId="0" hidden="1">1</definedName>
    <definedName name="_Regression_Int" localSheetId="1" hidden="1">1</definedName>
    <definedName name="Print_Area_MI" localSheetId="1">'G703'!$A$13:$J$79</definedName>
    <definedName name="Print_Titles_MI" localSheetId="1">'G703'!$1:$12</definedName>
    <definedName name="_xlnm.Print_Area" localSheetId="1">'G703'!$A$1:$J$78</definedName>
    <definedName name="_xlnm.Print_Area" localSheetId="2">'CP'!$A$1:$G$25</definedName>
    <definedName name="_xlnm.Print_Area" localSheetId="3">'UP'!$A$1:$G$21</definedName>
    <definedName name="_xlnm.Print_Area" localSheetId="4">'CF'!$A$1:$G$22</definedName>
    <definedName name="_xlnm.Print_Area" localSheetId="5">'UF'!$A$1:$G$19</definedName>
    <definedName name="_xlnm.Print_Area" localSheetId="6">'Prelim Sheet'!$A$1:$J$38</definedName>
  </definedNames>
  <calcPr calcId="191029" fullCalcOnLoad="1" concurrentCalc="0"/>
</workbook>
</file>

<file path=xl/styles.xml><?xml version="1.0" encoding="utf-8"?>
<styleSheet xmlns="http://schemas.openxmlformats.org/spreadsheetml/2006/main">
  <numFmts count="4">
    <numFmt numFmtId="164" formatCode="General_)"/>
    <numFmt numFmtId="165" formatCode="&quot;$&quot;#,##0.00_);\(&quot;$&quot;#,##0.00\)"/>
    <numFmt numFmtId="166" formatCode="_(&quot;$&quot;* #,##0.00_);_(&quot;$&quot;* \(#,##0.00\);_(&quot;$&quot;* &quot;-&quot;??_);_(@_)"/>
    <numFmt numFmtId="167" formatCode="&quot;$&quot;#,##0.00"/>
  </numFmts>
  <fonts count="37">
    <font>
      <name val="Arial"/>
      <family val="2"/>
      <sz val="10"/>
    </font>
    <font>
      <name val="Calibri"/>
      <family val="2"/>
      <color theme="1"/>
      <sz val="11"/>
      <scheme val="minor"/>
    </font>
    <font>
      <name val="Arial"/>
      <family val="2"/>
      <b val="1"/>
      <sz val="10"/>
    </font>
    <font>
      <name val="Arial"/>
      <family val="2"/>
      <sz val="10"/>
    </font>
    <font>
      <name val="Times New Roman"/>
      <family val="1"/>
      <sz val="9"/>
    </font>
    <font>
      <name val="Times"/>
      <family val="1"/>
      <sz val="10"/>
    </font>
    <font>
      <name val="Arial"/>
      <family val="2"/>
      <sz val="6"/>
    </font>
    <font>
      <name val="Arial"/>
      <family val="2"/>
      <b val="1"/>
      <sz val="8"/>
    </font>
    <font>
      <name val="Arial"/>
      <family val="2"/>
      <sz val="10"/>
    </font>
    <font>
      <name val="Arial"/>
      <family val="2"/>
      <i val="1"/>
      <sz val="12"/>
    </font>
    <font>
      <name val="Arial"/>
      <family val="2"/>
      <sz val="8"/>
    </font>
    <font>
      <name val="Arial"/>
      <family val="2"/>
      <sz val="6"/>
    </font>
    <font>
      <name val="Arial"/>
      <family val="2"/>
      <sz val="9"/>
    </font>
    <font>
      <name val="Arial"/>
      <family val="2"/>
      <color indexed="12"/>
      <sz val="10"/>
    </font>
    <font>
      <name val="Arial"/>
      <family val="2"/>
      <sz val="11"/>
    </font>
    <font>
      <name val="Arial"/>
      <family val="2"/>
      <color indexed="12"/>
      <sz val="11"/>
    </font>
    <font>
      <name val="Arial"/>
      <family val="2"/>
      <b val="1"/>
      <color indexed="12"/>
      <sz val="11"/>
    </font>
    <font>
      <name val="Arial"/>
      <family val="2"/>
      <b val="1"/>
      <sz val="14"/>
    </font>
    <font>
      <name val="Arial"/>
      <family val="2"/>
      <b val="1"/>
      <sz val="9"/>
    </font>
    <font>
      <name val="Arial"/>
      <family val="2"/>
      <b val="1"/>
      <color indexed="12"/>
      <sz val="11"/>
    </font>
    <font>
      <name val="Calibri"/>
      <family val="2"/>
      <color indexed="8"/>
      <sz val="11"/>
    </font>
    <font>
      <name val="Helvetica"/>
      <family val="2"/>
      <sz val="10"/>
    </font>
    <font>
      <name val="Arial"/>
      <family val="2"/>
      <color rgb="FF222222"/>
      <sz val="10"/>
    </font>
    <font>
      <name val="Times New Roman"/>
      <family val="1"/>
      <color rgb="FF000000"/>
      <sz val="10"/>
    </font>
    <font>
      <name val="Arial"/>
      <family val="2"/>
      <b val="1"/>
      <sz val="12"/>
    </font>
    <font>
      <name val="Arial"/>
      <family val="2"/>
      <sz val="12"/>
    </font>
    <font>
      <name val="MS Sans Serif"/>
      <sz val="10"/>
    </font>
    <font>
      <name val="Arial"/>
      <family val="2"/>
      <color rgb="FF000000"/>
      <sz val="12"/>
    </font>
    <font>
      <name val="Century Gothic"/>
      <family val="1"/>
      <sz val="12"/>
    </font>
    <font>
      <name val="Arial"/>
      <family val="2"/>
      <b val="1"/>
      <color rgb="FF0070C0"/>
      <sz val="11"/>
    </font>
    <font>
      <name val="Century Gothic"/>
      <family val="2"/>
      <b val="1"/>
      <color theme="1"/>
      <sz val="10"/>
    </font>
    <font>
      <name val="Century Gothic"/>
      <family val="2"/>
      <sz val="10"/>
    </font>
    <font>
      <name val="Arial"/>
      <family val="2"/>
      <color rgb="FF212121"/>
      <sz val="8"/>
    </font>
    <font>
      <name val="Arial"/>
      <family val="2"/>
      <color theme="1"/>
      <sz val="8"/>
    </font>
    <font>
      <name val="Times New Roman"/>
      <family val="1"/>
      <color theme="1"/>
      <sz val="8"/>
    </font>
    <font>
      <name val="Arial"/>
      <family val="2"/>
      <color rgb="FF000000"/>
      <sz val="8"/>
    </font>
    <font>
      <name val="Times New Roman"/>
      <family val="1"/>
      <color rgb="FF000000"/>
      <sz val="8"/>
    </font>
  </fonts>
  <fills count="5">
    <fill>
      <patternFill/>
    </fill>
    <fill>
      <patternFill patternType="gray125"/>
    </fill>
    <fill>
      <patternFill patternType="solid">
        <fgColor indexed="65"/>
        <bgColor indexed="8"/>
      </patternFill>
    </fill>
    <fill>
      <patternFill patternType="solid">
        <fgColor theme="0" tint="-0.0499893185216834"/>
        <bgColor indexed="64"/>
      </patternFill>
    </fill>
    <fill>
      <patternFill patternType="solid">
        <fgColor theme="0" tint="-0.3499862666707358"/>
        <bgColor indexed="64"/>
      </patternFill>
    </fill>
  </fills>
  <borders count="28">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ck">
        <color auto="1"/>
      </top>
      <bottom/>
      <diagonal/>
    </border>
    <border>
      <left/>
      <right/>
      <top/>
      <bottom style="thick">
        <color auto="1"/>
      </bottom>
      <diagonal/>
    </border>
    <border>
      <left/>
      <right/>
      <top style="thin">
        <color auto="1"/>
      </top>
      <bottom style="thick">
        <color auto="1"/>
      </bottom>
      <diagonal/>
    </border>
    <border>
      <left/>
      <right/>
      <top style="thick">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indexed="64"/>
      </right>
      <top/>
      <bottom/>
      <diagonal/>
    </border>
    <border>
      <left/>
      <right/>
      <top style="thin">
        <color auto="1"/>
      </top>
      <bottom/>
      <diagonal/>
    </border>
  </borders>
  <cellStyleXfs count="17">
    <xf numFmtId="0" fontId="8" fillId="0" borderId="0"/>
    <xf numFmtId="44" fontId="8" fillId="0" borderId="0"/>
    <xf numFmtId="0" fontId="20" fillId="0" borderId="0"/>
    <xf numFmtId="164" fontId="4" fillId="0" borderId="0"/>
    <xf numFmtId="37" fontId="5" fillId="0" borderId="0"/>
    <xf numFmtId="9" fontId="8" fillId="0" borderId="0"/>
    <xf numFmtId="43" fontId="8" fillId="0" borderId="0"/>
    <xf numFmtId="0" fontId="23" fillId="0" borderId="0"/>
    <xf numFmtId="0" fontId="1" fillId="0" borderId="0"/>
    <xf numFmtId="44" fontId="1" fillId="0" borderId="0"/>
    <xf numFmtId="0" fontId="23" fillId="0" borderId="0"/>
    <xf numFmtId="9" fontId="1" fillId="0" borderId="0"/>
    <xf numFmtId="164" fontId="4" fillId="0" borderId="0"/>
    <xf numFmtId="8" fontId="26" fillId="0" borderId="0"/>
    <xf numFmtId="43" fontId="23" fillId="0" borderId="0"/>
    <xf numFmtId="9" fontId="23" fillId="0" borderId="0"/>
    <xf numFmtId="0" fontId="23" fillId="0" borderId="0"/>
  </cellStyleXfs>
  <cellXfs count="201">
    <xf numFmtId="0" fontId="0" fillId="0" borderId="0" pivotButton="0" quotePrefix="0" xfId="0"/>
    <xf numFmtId="164" fontId="4" fillId="0" borderId="0" pivotButton="0" quotePrefix="0" xfId="3"/>
    <xf numFmtId="37" fontId="6" fillId="0" borderId="0" applyAlignment="1" pivotButton="0" quotePrefix="0" xfId="4">
      <alignment horizontal="left"/>
    </xf>
    <xf numFmtId="37" fontId="7" fillId="0" borderId="0" applyAlignment="1" pivotButton="0" quotePrefix="0" xfId="4">
      <alignment horizontal="right"/>
    </xf>
    <xf numFmtId="37" fontId="9" fillId="0" borderId="1" applyAlignment="1" pivotButton="0" quotePrefix="0" xfId="4">
      <alignment horizontal="left"/>
    </xf>
    <xf numFmtId="37" fontId="10" fillId="0" borderId="1" applyAlignment="1" pivotButton="0" quotePrefix="0" xfId="4">
      <alignment horizontal="left"/>
    </xf>
    <xf numFmtId="37" fontId="12" fillId="0" borderId="0" applyAlignment="1" pivotButton="0" quotePrefix="0" xfId="4">
      <alignment horizontal="left"/>
    </xf>
    <xf numFmtId="49" fontId="13" fillId="0" borderId="0" applyProtection="1" pivotButton="0" quotePrefix="0" xfId="4">
      <protection locked="0" hidden="0"/>
    </xf>
    <xf numFmtId="37" fontId="13" fillId="0" borderId="0" applyProtection="1" pivotButton="0" quotePrefix="0" xfId="4">
      <protection locked="0" hidden="0"/>
    </xf>
    <xf numFmtId="37" fontId="13" fillId="0" borderId="0" pivotButton="0" quotePrefix="0" xfId="4"/>
    <xf numFmtId="37" fontId="10" fillId="0" borderId="2" applyAlignment="1" pivotButton="0" quotePrefix="0" xfId="4">
      <alignment horizontal="center"/>
    </xf>
    <xf numFmtId="37" fontId="10" fillId="0" borderId="2" applyAlignment="1" pivotButton="0" quotePrefix="0" xfId="4">
      <alignment horizontal="centerContinuous"/>
    </xf>
    <xf numFmtId="37" fontId="10" fillId="0" borderId="3" applyAlignment="1" pivotButton="0" quotePrefix="0" xfId="4">
      <alignment horizontal="centerContinuous"/>
    </xf>
    <xf numFmtId="37" fontId="10" fillId="0" borderId="4" applyAlignment="1" pivotButton="0" quotePrefix="0" xfId="4">
      <alignment horizontal="center"/>
    </xf>
    <xf numFmtId="37" fontId="13" fillId="0" borderId="5" applyProtection="1" pivotButton="0" quotePrefix="0" xfId="4">
      <protection locked="0" hidden="0"/>
    </xf>
    <xf numFmtId="165" fontId="13" fillId="0" borderId="5" pivotButton="0" quotePrefix="0" xfId="4"/>
    <xf numFmtId="165" fontId="13" fillId="0" borderId="8" applyProtection="1" pivotButton="0" quotePrefix="0" xfId="4">
      <protection locked="0" hidden="0"/>
    </xf>
    <xf numFmtId="37" fontId="10" fillId="0" borderId="1" applyAlignment="1" applyProtection="1" pivotButton="0" quotePrefix="0" xfId="4">
      <alignment horizontal="left"/>
      <protection locked="0" hidden="0"/>
    </xf>
    <xf numFmtId="1" fontId="13" fillId="0" borderId="0" applyAlignment="1" applyProtection="1" pivotButton="0" quotePrefix="0" xfId="4">
      <alignment horizontal="left"/>
      <protection locked="0" hidden="0"/>
    </xf>
    <xf numFmtId="164" fontId="17" fillId="0" borderId="0" applyAlignment="1" pivotButton="0" quotePrefix="0" xfId="3">
      <alignment horizontal="left"/>
    </xf>
    <xf numFmtId="164" fontId="12" fillId="0" borderId="0" pivotButton="0" quotePrefix="0" xfId="3"/>
    <xf numFmtId="164" fontId="12" fillId="0" borderId="10" pivotButton="0" quotePrefix="0" xfId="3"/>
    <xf numFmtId="164" fontId="15" fillId="0" borderId="0" pivotButton="0" quotePrefix="0" xfId="3"/>
    <xf numFmtId="164" fontId="8" fillId="0" borderId="0" pivotButton="0" quotePrefix="0" xfId="3"/>
    <xf numFmtId="164" fontId="8" fillId="0" borderId="0" applyAlignment="1" pivotButton="0" quotePrefix="0" xfId="3">
      <alignment horizontal="left"/>
    </xf>
    <xf numFmtId="164" fontId="12" fillId="0" borderId="0" applyAlignment="1" pivotButton="0" quotePrefix="0" xfId="3">
      <alignment horizontal="left"/>
    </xf>
    <xf numFmtId="164" fontId="12" fillId="0" borderId="0" applyAlignment="1" pivotButton="0" quotePrefix="1" xfId="3">
      <alignment horizontal="left"/>
    </xf>
    <xf numFmtId="164" fontId="12" fillId="0" borderId="0" applyAlignment="1" pivotButton="0" quotePrefix="0" xfId="3">
      <alignment horizontal="right"/>
    </xf>
    <xf numFmtId="164" fontId="11" fillId="0" borderId="10" applyAlignment="1" pivotButton="0" quotePrefix="0" xfId="3">
      <alignment horizontal="left"/>
    </xf>
    <xf numFmtId="164" fontId="11" fillId="0" borderId="10" pivotButton="0" quotePrefix="0" xfId="3"/>
    <xf numFmtId="164" fontId="2" fillId="0" borderId="0" applyAlignment="1" pivotButton="0" quotePrefix="0" xfId="3">
      <alignment horizontal="left"/>
    </xf>
    <xf numFmtId="164" fontId="2" fillId="0" borderId="0" pivotButton="0" quotePrefix="0" xfId="3"/>
    <xf numFmtId="164" fontId="18" fillId="0" borderId="0" pivotButton="0" quotePrefix="0" xfId="3"/>
    <xf numFmtId="164" fontId="18" fillId="0" borderId="0" applyAlignment="1" pivotButton="0" quotePrefix="0" xfId="3">
      <alignment horizontal="right"/>
    </xf>
    <xf numFmtId="165" fontId="13" fillId="0" borderId="5" applyProtection="1" pivotButton="0" quotePrefix="0" xfId="4">
      <protection locked="0" hidden="0"/>
    </xf>
    <xf numFmtId="37" fontId="15" fillId="0" borderId="11" pivotButton="0" quotePrefix="0" xfId="4"/>
    <xf numFmtId="37" fontId="16" fillId="0" borderId="12" applyAlignment="1" pivotButton="0" quotePrefix="0" xfId="4">
      <alignment horizontal="center"/>
    </xf>
    <xf numFmtId="165" fontId="15" fillId="0" borderId="12" pivotButton="0" quotePrefix="0" xfId="4"/>
    <xf numFmtId="10" fontId="15" fillId="0" borderId="12" pivotButton="0" quotePrefix="0" xfId="4"/>
    <xf numFmtId="166" fontId="3" fillId="0" borderId="4" pivotButton="0" quotePrefix="0" xfId="1"/>
    <xf numFmtId="165" fontId="13" fillId="0" borderId="4" applyAlignment="1" applyProtection="1" pivotButton="0" quotePrefix="0" xfId="4">
      <alignment horizontal="right"/>
      <protection locked="0" hidden="0"/>
    </xf>
    <xf numFmtId="165" fontId="15" fillId="0" borderId="13" pivotButton="0" quotePrefix="0" xfId="4"/>
    <xf numFmtId="165" fontId="13" fillId="0" borderId="4" pivotButton="0" quotePrefix="0" xfId="4"/>
    <xf numFmtId="10" fontId="13" fillId="0" borderId="4" pivotButton="0" quotePrefix="0" xfId="4"/>
    <xf numFmtId="165" fontId="13" fillId="0" borderId="4" applyProtection="1" pivotButton="0" quotePrefix="0" xfId="4">
      <protection locked="0" hidden="0"/>
    </xf>
    <xf numFmtId="0" fontId="3" fillId="0" borderId="4" pivotButton="0" quotePrefix="0" xfId="2"/>
    <xf numFmtId="166" fontId="10" fillId="0" borderId="2" applyAlignment="1" pivotButton="0" quotePrefix="0" xfId="4">
      <alignment horizontal="center"/>
    </xf>
    <xf numFmtId="166" fontId="13" fillId="0" borderId="5" applyProtection="1" pivotButton="0" quotePrefix="0" xfId="4">
      <protection locked="0" hidden="0"/>
    </xf>
    <xf numFmtId="166" fontId="15" fillId="0" borderId="12" pivotButton="0" quotePrefix="0" xfId="4"/>
    <xf numFmtId="166" fontId="3" fillId="0" borderId="0" pivotButton="0" quotePrefix="0" xfId="1"/>
    <xf numFmtId="37" fontId="3" fillId="0" borderId="1" pivotButton="0" quotePrefix="0" xfId="4"/>
    <xf numFmtId="166" fontId="3" fillId="0" borderId="1" pivotButton="0" quotePrefix="0" xfId="4"/>
    <xf numFmtId="37" fontId="6" fillId="0" borderId="1" pivotButton="0" quotePrefix="0" xfId="4"/>
    <xf numFmtId="37" fontId="3" fillId="0" borderId="0" pivotButton="0" quotePrefix="0" xfId="4"/>
    <xf numFmtId="37" fontId="3" fillId="0" borderId="0" applyAlignment="1" pivotButton="0" quotePrefix="0" xfId="4">
      <alignment horizontal="left"/>
    </xf>
    <xf numFmtId="166" fontId="3" fillId="0" borderId="0" pivotButton="0" quotePrefix="0" xfId="4"/>
    <xf numFmtId="37" fontId="3" fillId="0" borderId="0" applyAlignment="1" pivotButton="0" quotePrefix="0" xfId="4">
      <alignment horizontal="right"/>
    </xf>
    <xf numFmtId="0" fontId="3" fillId="0" borderId="0" pivotButton="0" quotePrefix="0" xfId="0"/>
    <xf numFmtId="0" fontId="3" fillId="0" borderId="4" applyAlignment="1" pivotButton="0" quotePrefix="0" xfId="0">
      <alignment horizontal="center"/>
    </xf>
    <xf numFmtId="166" fontId="3" fillId="0" borderId="4" applyAlignment="1" pivotButton="0" quotePrefix="0" xfId="1">
      <alignment vertical="center"/>
    </xf>
    <xf numFmtId="37" fontId="6" fillId="0" borderId="0" pivotButton="0" quotePrefix="0" xfId="4"/>
    <xf numFmtId="166" fontId="6" fillId="0" borderId="0" pivotButton="0" quotePrefix="0" xfId="4"/>
    <xf numFmtId="39" fontId="12" fillId="0" borderId="0" pivotButton="0" quotePrefix="0" xfId="4"/>
    <xf numFmtId="39" fontId="3" fillId="0" borderId="0" pivotButton="0" quotePrefix="0" xfId="4"/>
    <xf numFmtId="164" fontId="12" fillId="0" borderId="0" pivotButton="0" quotePrefix="0" xfId="0"/>
    <xf numFmtId="164" fontId="0" fillId="0" borderId="0" applyAlignment="1" pivotButton="0" quotePrefix="0" xfId="3">
      <alignment horizontal="left"/>
    </xf>
    <xf numFmtId="9" fontId="12" fillId="0" borderId="7" applyProtection="1" pivotButton="0" quotePrefix="0" xfId="5">
      <protection locked="0" hidden="0"/>
    </xf>
    <xf numFmtId="0" fontId="21" fillId="0" borderId="0" pivotButton="0" quotePrefix="0" xfId="0"/>
    <xf numFmtId="164" fontId="0" fillId="0" borderId="1" applyAlignment="1" pivotButton="0" quotePrefix="0" xfId="3">
      <alignment horizontal="left"/>
    </xf>
    <xf numFmtId="164" fontId="12" fillId="0" borderId="1" pivotButton="0" quotePrefix="0" xfId="3"/>
    <xf numFmtId="0" fontId="0" fillId="0" borderId="1" pivotButton="0" quotePrefix="0" xfId="0"/>
    <xf numFmtId="164" fontId="12" fillId="0" borderId="1" applyAlignment="1" pivotButton="0" quotePrefix="0" xfId="3">
      <alignment horizontal="right"/>
    </xf>
    <xf numFmtId="2" fontId="15" fillId="0" borderId="1" applyAlignment="1" pivotButton="0" quotePrefix="0" xfId="3">
      <alignment horizontal="right"/>
    </xf>
    <xf numFmtId="164" fontId="8" fillId="0" borderId="1" applyAlignment="1" pivotButton="0" quotePrefix="0" xfId="3">
      <alignment horizontal="left"/>
    </xf>
    <xf numFmtId="14" fontId="14" fillId="0" borderId="0" applyAlignment="1" pivotButton="0" quotePrefix="0" xfId="3">
      <alignment horizontal="left"/>
    </xf>
    <xf numFmtId="0" fontId="22" fillId="0" borderId="4" pivotButton="0" quotePrefix="0" xfId="0"/>
    <xf numFmtId="43" fontId="15" fillId="0" borderId="7" applyAlignment="1" applyProtection="1" pivotButton="0" quotePrefix="0" xfId="6">
      <alignment horizontal="right"/>
      <protection locked="0" hidden="0"/>
    </xf>
    <xf numFmtId="2" fontId="3" fillId="0" borderId="0" pivotButton="0" quotePrefix="0" xfId="1"/>
    <xf numFmtId="0" fontId="23" fillId="0" borderId="0" applyAlignment="1" pivotButton="0" quotePrefix="0" xfId="7">
      <alignment horizontal="left" vertical="top"/>
    </xf>
    <xf numFmtId="0" fontId="24" fillId="0" borderId="3" applyAlignment="1" pivotButton="0" quotePrefix="0" xfId="7">
      <alignment horizontal="left" vertical="center" wrapText="1"/>
    </xf>
    <xf numFmtId="0" fontId="25" fillId="0" borderId="0" applyAlignment="1" pivotButton="0" quotePrefix="0" xfId="7">
      <alignment vertical="top" wrapText="1"/>
    </xf>
    <xf numFmtId="0" fontId="24" fillId="0" borderId="0" applyAlignment="1" pivotButton="0" quotePrefix="0" xfId="7">
      <alignment vertical="center" wrapText="1"/>
    </xf>
    <xf numFmtId="0" fontId="23" fillId="3" borderId="0" applyAlignment="1" pivotButton="0" quotePrefix="0" xfId="7">
      <alignment horizontal="left" vertical="top"/>
    </xf>
    <xf numFmtId="0" fontId="3" fillId="3" borderId="0" applyAlignment="1" pivotButton="0" quotePrefix="0" xfId="7">
      <alignment vertical="center" wrapText="1"/>
    </xf>
    <xf numFmtId="164" fontId="28" fillId="0" borderId="0" applyAlignment="1" pivotButton="0" quotePrefix="0" xfId="3">
      <alignment horizontal="left"/>
    </xf>
    <xf numFmtId="164" fontId="15" fillId="0" borderId="0" applyAlignment="1" pivotButton="0" quotePrefix="0" xfId="3">
      <alignment horizontal="left" indent="1"/>
    </xf>
    <xf numFmtId="164" fontId="14" fillId="0" borderId="0" applyAlignment="1" pivotButton="0" quotePrefix="0" xfId="3">
      <alignment horizontal="left"/>
    </xf>
    <xf numFmtId="164" fontId="14" fillId="0" borderId="0" applyAlignment="1" pivotButton="0" quotePrefix="0" xfId="3">
      <alignment horizontal="right"/>
    </xf>
    <xf numFmtId="164" fontId="14" fillId="0" borderId="0" pivotButton="0" quotePrefix="0" xfId="3"/>
    <xf numFmtId="164" fontId="15" fillId="0" borderId="0" applyAlignment="1" pivotButton="0" quotePrefix="0" xfId="3">
      <alignment horizontal="left"/>
    </xf>
    <xf numFmtId="37" fontId="28" fillId="0" borderId="1" applyAlignment="1" pivotButton="0" quotePrefix="0" xfId="4">
      <alignment horizontal="left"/>
    </xf>
    <xf numFmtId="37" fontId="7" fillId="0" borderId="5" applyAlignment="1" pivotButton="0" quotePrefix="0" xfId="4">
      <alignment horizontal="center"/>
    </xf>
    <xf numFmtId="37" fontId="7" fillId="0" borderId="6" applyAlignment="1" pivotButton="0" quotePrefix="0" xfId="4">
      <alignment horizontal="center"/>
    </xf>
    <xf numFmtId="164" fontId="29" fillId="0" borderId="1" pivotButton="0" quotePrefix="0" xfId="3"/>
    <xf numFmtId="0" fontId="31" fillId="0" borderId="0" pivotButton="0" quotePrefix="0" xfId="0"/>
    <xf numFmtId="0" fontId="31" fillId="0" borderId="7" pivotButton="0" quotePrefix="0" xfId="0"/>
    <xf numFmtId="0" fontId="30" fillId="0" borderId="0" pivotButton="0" quotePrefix="0" xfId="0"/>
    <xf numFmtId="0" fontId="32" fillId="0" borderId="4" applyAlignment="1" pivotButton="0" quotePrefix="0" xfId="0">
      <alignment vertical="top" wrapText="1"/>
    </xf>
    <xf numFmtId="0" fontId="33" fillId="0" borderId="4" applyAlignment="1" pivotButton="0" quotePrefix="0" xfId="0">
      <alignment horizontal="left"/>
    </xf>
    <xf numFmtId="0" fontId="32" fillId="0" borderId="4" applyAlignment="1" pivotButton="0" quotePrefix="0" xfId="0">
      <alignment horizontal="left" vertical="top" wrapText="1"/>
    </xf>
    <xf numFmtId="0" fontId="34" fillId="0" borderId="4" applyAlignment="1" pivotButton="0" quotePrefix="0" xfId="0">
      <alignment horizontal="left"/>
    </xf>
    <xf numFmtId="37" fontId="35" fillId="0" borderId="23" applyAlignment="1" pivotButton="0" quotePrefix="0" xfId="0">
      <alignment horizontal="left"/>
    </xf>
    <xf numFmtId="37" fontId="36" fillId="0" borderId="24" applyAlignment="1" pivotButton="0" quotePrefix="0" xfId="0">
      <alignment horizontal="center"/>
    </xf>
    <xf numFmtId="37" fontId="36" fillId="0" borderId="23" applyAlignment="1" pivotButton="0" quotePrefix="0" xfId="0">
      <alignment horizontal="center"/>
    </xf>
    <xf numFmtId="43" fontId="15" fillId="0" borderId="7" applyAlignment="1" pivotButton="0" quotePrefix="0" xfId="6">
      <alignment horizontal="right"/>
    </xf>
    <xf numFmtId="43" fontId="19" fillId="2" borderId="7" applyAlignment="1" applyProtection="1" pivotButton="0" quotePrefix="0" xfId="6">
      <alignment horizontal="right"/>
      <protection locked="0" hidden="0"/>
    </xf>
    <xf numFmtId="165" fontId="15" fillId="0" borderId="7" applyAlignment="1" applyProtection="1" pivotButton="0" quotePrefix="0" xfId="6">
      <alignment horizontal="right"/>
      <protection locked="0" hidden="0"/>
    </xf>
    <xf numFmtId="43" fontId="15" fillId="0" borderId="3" applyAlignment="1" applyProtection="1" pivotButton="0" quotePrefix="0" xfId="6">
      <alignment horizontal="right"/>
      <protection locked="0" hidden="0"/>
    </xf>
    <xf numFmtId="0" fontId="14" fillId="4" borderId="2" applyAlignment="1" pivotButton="0" quotePrefix="0" xfId="0">
      <alignment horizontal="left" indent="3"/>
    </xf>
    <xf numFmtId="0" fontId="14" fillId="4" borderId="3" applyAlignment="1" pivotButton="0" quotePrefix="0" xfId="0">
      <alignment horizontal="left" indent="3"/>
    </xf>
    <xf numFmtId="0" fontId="14" fillId="4" borderId="22" applyAlignment="1" pivotButton="0" quotePrefix="0" xfId="0">
      <alignment horizontal="left" indent="3"/>
    </xf>
    <xf numFmtId="37" fontId="7" fillId="0" borderId="18" applyAlignment="1" pivotButton="0" quotePrefix="0" xfId="4">
      <alignment horizontal="center" vertical="center"/>
    </xf>
    <xf numFmtId="37" fontId="7" fillId="0" borderId="8" applyAlignment="1" pivotButton="0" quotePrefix="0" xfId="4">
      <alignment horizontal="center" vertical="center"/>
    </xf>
    <xf numFmtId="37" fontId="7" fillId="0" borderId="9" applyAlignment="1" pivotButton="0" quotePrefix="0" xfId="4">
      <alignment horizontal="center" vertical="center"/>
    </xf>
    <xf numFmtId="37" fontId="7" fillId="0" borderId="18" applyAlignment="1" pivotButton="0" quotePrefix="0" xfId="4">
      <alignment horizontal="center" vertical="center" wrapText="1"/>
    </xf>
    <xf numFmtId="37" fontId="7" fillId="0" borderId="8" applyAlignment="1" pivotButton="0" quotePrefix="0" xfId="4">
      <alignment horizontal="center" vertical="center" wrapText="1"/>
    </xf>
    <xf numFmtId="37" fontId="7" fillId="0" borderId="9" applyAlignment="1" pivotButton="0" quotePrefix="0" xfId="4">
      <alignment horizontal="center" vertical="center" wrapText="1"/>
    </xf>
    <xf numFmtId="37" fontId="7" fillId="0" borderId="19" applyAlignment="1" pivotButton="0" quotePrefix="0" xfId="4">
      <alignment horizontal="center" vertical="center"/>
    </xf>
    <xf numFmtId="37" fontId="7" fillId="0" borderId="20" applyAlignment="1" pivotButton="0" quotePrefix="0" xfId="4">
      <alignment horizontal="center" vertical="center"/>
    </xf>
    <xf numFmtId="37" fontId="7" fillId="0" borderId="6" applyAlignment="1" pivotButton="0" quotePrefix="0" xfId="4">
      <alignment horizontal="center" vertical="center"/>
    </xf>
    <xf numFmtId="37" fontId="7" fillId="0" borderId="21" applyAlignment="1" pivotButton="0" quotePrefix="0" xfId="4">
      <alignment horizontal="center" vertical="center"/>
    </xf>
    <xf numFmtId="166" fontId="7" fillId="0" borderId="18" applyAlignment="1" pivotButton="0" quotePrefix="0" xfId="4">
      <alignment horizontal="center" vertical="center"/>
    </xf>
    <xf numFmtId="166" fontId="7" fillId="0" borderId="8" applyAlignment="1" pivotButton="0" quotePrefix="0" xfId="4">
      <alignment horizontal="center" vertical="center"/>
    </xf>
    <xf numFmtId="166" fontId="7" fillId="0" borderId="9" applyAlignment="1" pivotButton="0" quotePrefix="0" xfId="4">
      <alignment horizontal="center" vertical="center"/>
    </xf>
    <xf numFmtId="0" fontId="25" fillId="0" borderId="0" applyAlignment="1" pivotButton="0" quotePrefix="0" xfId="7">
      <alignment horizontal="left" vertical="top" wrapText="1"/>
    </xf>
    <xf numFmtId="0" fontId="25" fillId="3" borderId="3" applyAlignment="1" pivotButton="0" quotePrefix="0" xfId="7">
      <alignment horizontal="left" vertical="center" wrapText="1"/>
    </xf>
    <xf numFmtId="167" fontId="24" fillId="3" borderId="3" applyAlignment="1" pivotButton="0" quotePrefix="0" xfId="1">
      <alignment horizontal="left" vertical="center" wrapText="1"/>
    </xf>
    <xf numFmtId="0" fontId="24" fillId="0" borderId="3" applyAlignment="1" pivotButton="0" quotePrefix="0" xfId="7">
      <alignment horizontal="left" vertical="center" wrapText="1"/>
    </xf>
    <xf numFmtId="0" fontId="24" fillId="0" borderId="3" applyAlignment="1" pivotButton="0" quotePrefix="0" xfId="7">
      <alignment horizontal="center" vertical="center" wrapText="1"/>
    </xf>
    <xf numFmtId="0" fontId="27" fillId="3" borderId="3" applyAlignment="1" pivotButton="0" quotePrefix="0" xfId="7">
      <alignment horizontal="left" vertical="center" wrapText="1"/>
    </xf>
    <xf numFmtId="49" fontId="25" fillId="3" borderId="3" applyAlignment="1" pivotButton="0" quotePrefix="0" xfId="7">
      <alignment horizontal="left" vertical="center" wrapText="1"/>
    </xf>
    <xf numFmtId="0" fontId="3" fillId="0" borderId="16" applyAlignment="1" pivotButton="0" quotePrefix="0" xfId="7">
      <alignment horizontal="center" vertical="top" wrapText="1"/>
    </xf>
    <xf numFmtId="0" fontId="24" fillId="0" borderId="14" applyAlignment="1" pivotButton="0" quotePrefix="0" xfId="7">
      <alignment horizontal="center" wrapText="1"/>
    </xf>
    <xf numFmtId="0" fontId="17" fillId="0" borderId="0" applyAlignment="1" pivotButton="0" quotePrefix="0" xfId="7">
      <alignment horizontal="center" vertical="center" wrapText="1"/>
    </xf>
    <xf numFmtId="0" fontId="24" fillId="0" borderId="17" applyAlignment="1" pivotButton="0" quotePrefix="0" xfId="7">
      <alignment horizontal="center" vertical="center" wrapText="1"/>
    </xf>
    <xf numFmtId="0" fontId="25" fillId="0" borderId="7" applyAlignment="1" pivotButton="0" quotePrefix="0" xfId="7">
      <alignment horizontal="left" vertical="top" wrapText="1"/>
    </xf>
    <xf numFmtId="0" fontId="3" fillId="0" borderId="15" applyAlignment="1" pivotButton="0" quotePrefix="0" xfId="7">
      <alignment horizontal="center" vertical="top" wrapText="1"/>
    </xf>
    <xf numFmtId="0" fontId="25" fillId="0" borderId="0" applyAlignment="1" pivotButton="0" quotePrefix="0" xfId="7">
      <alignment horizontal="left" vertical="center" wrapText="1"/>
    </xf>
    <xf numFmtId="0" fontId="24" fillId="0" borderId="14" applyAlignment="1" pivotButton="0" quotePrefix="0" xfId="7">
      <alignment horizontal="center" vertical="center" wrapText="1"/>
    </xf>
    <xf numFmtId="0" fontId="3" fillId="3" borderId="0" applyAlignment="1" pivotButton="0" quotePrefix="0" xfId="7">
      <alignment horizontal="center" vertical="center" wrapText="1"/>
    </xf>
    <xf numFmtId="0" fontId="24" fillId="0" borderId="3" applyAlignment="1" pivotButton="0" quotePrefix="0" xfId="7">
      <alignment vertical="center" wrapText="1"/>
    </xf>
    <xf numFmtId="49" fontId="27" fillId="3" borderId="3" applyAlignment="1" pivotButton="0" quotePrefix="0" xfId="7">
      <alignment horizontal="left" vertical="center" wrapText="1"/>
    </xf>
    <xf numFmtId="0" fontId="24" fillId="3" borderId="3" applyAlignment="1" pivotButton="0" quotePrefix="0" xfId="7">
      <alignment horizontal="center" vertical="center" wrapText="1"/>
    </xf>
    <xf numFmtId="0" fontId="17" fillId="0" borderId="0" applyAlignment="1" pivotButton="0" quotePrefix="0" xfId="7">
      <alignment horizontal="center" vertical="top" wrapText="1"/>
    </xf>
    <xf numFmtId="0" fontId="17" fillId="0" borderId="0" applyAlignment="1" pivotButton="0" quotePrefix="0" xfId="7">
      <alignment horizontal="left" vertical="top" wrapText="1"/>
    </xf>
    <xf numFmtId="0" fontId="24" fillId="0" borderId="0" applyAlignment="1" pivotButton="0" quotePrefix="0" xfId="7">
      <alignment horizontal="right" vertical="center" wrapText="1"/>
    </xf>
    <xf numFmtId="14" fontId="25" fillId="3" borderId="3" applyAlignment="1" pivotButton="0" quotePrefix="0" xfId="7">
      <alignment horizontal="left" vertical="center" wrapText="1"/>
    </xf>
    <xf numFmtId="2" fontId="24" fillId="3" borderId="7" applyAlignment="1" pivotButton="0" quotePrefix="0" xfId="7">
      <alignment horizontal="center" vertical="center" wrapText="1"/>
    </xf>
    <xf numFmtId="0" fontId="24" fillId="3" borderId="7" applyAlignment="1" pivotButton="0" quotePrefix="0" xfId="7">
      <alignment horizontal="center" vertical="center" wrapText="1"/>
    </xf>
    <xf numFmtId="49" fontId="23" fillId="3" borderId="3" applyAlignment="1" pivotButton="0" quotePrefix="0" xfId="7">
      <alignment horizontal="center" vertical="center" wrapText="1"/>
    </xf>
    <xf numFmtId="0" fontId="23" fillId="3" borderId="3" applyAlignment="1" pivotButton="0" quotePrefix="0" xfId="7">
      <alignment horizontal="center" vertical="center" wrapText="1"/>
    </xf>
    <xf numFmtId="0" fontId="24" fillId="0" borderId="7" applyAlignment="1" pivotButton="0" quotePrefix="0" xfId="7">
      <alignment horizontal="center" vertical="center" wrapText="1"/>
    </xf>
    <xf numFmtId="0" fontId="14" fillId="0" borderId="0" applyAlignment="1" pivotButton="0" quotePrefix="0" xfId="7">
      <alignment horizontal="left" vertical="center" wrapText="1"/>
    </xf>
    <xf numFmtId="0" fontId="31" fillId="0" borderId="0" pivotButton="0" quotePrefix="0" xfId="0"/>
    <xf numFmtId="0" fontId="31" fillId="0" borderId="0" applyAlignment="1" pivotButton="0" quotePrefix="0" xfId="0">
      <alignment horizontal="left"/>
    </xf>
    <xf numFmtId="165" fontId="15" fillId="0" borderId="7" applyAlignment="1" applyProtection="1" pivotButton="0" quotePrefix="0" xfId="6">
      <alignment horizontal="right"/>
      <protection locked="0" hidden="0"/>
    </xf>
    <xf numFmtId="166" fontId="3" fillId="0" borderId="0" pivotButton="0" quotePrefix="0" xfId="4"/>
    <xf numFmtId="166" fontId="3" fillId="0" borderId="1" pivotButton="0" quotePrefix="0" xfId="4"/>
    <xf numFmtId="166" fontId="10" fillId="0" borderId="2" applyAlignment="1" pivotButton="0" quotePrefix="0" xfId="4">
      <alignment horizontal="center"/>
    </xf>
    <xf numFmtId="37" fontId="7" fillId="0" borderId="4" applyAlignment="1" pivotButton="0" quotePrefix="0" xfId="4">
      <alignment horizontal="center" vertical="center"/>
    </xf>
    <xf numFmtId="166" fontId="7" fillId="0" borderId="4" applyAlignment="1" pivotButton="0" quotePrefix="0" xfId="4">
      <alignment horizontal="center" vertical="center"/>
    </xf>
    <xf numFmtId="0" fontId="0" fillId="0" borderId="20" pivotButton="0" quotePrefix="0" xfId="0"/>
    <xf numFmtId="37" fontId="7" fillId="0" borderId="4" applyAlignment="1" pivotButton="0" quotePrefix="0" xfId="4">
      <alignment horizontal="center" vertical="center" wrapText="1"/>
    </xf>
    <xf numFmtId="0" fontId="0" fillId="0" borderId="8" pivotButton="0" quotePrefix="0" xfId="0"/>
    <xf numFmtId="0" fontId="0" fillId="0" borderId="6" pivotButton="0" quotePrefix="0" xfId="0"/>
    <xf numFmtId="0" fontId="0" fillId="0" borderId="21" pivotButton="0" quotePrefix="0" xfId="0"/>
    <xf numFmtId="0" fontId="0" fillId="0" borderId="9" pivotButton="0" quotePrefix="0" xfId="0"/>
    <xf numFmtId="166" fontId="3" fillId="0" borderId="4" pivotButton="0" quotePrefix="0" xfId="1"/>
    <xf numFmtId="165" fontId="13" fillId="0" borderId="4" applyAlignment="1" applyProtection="1" pivotButton="0" quotePrefix="0" xfId="4">
      <alignment horizontal="right"/>
      <protection locked="0" hidden="0"/>
    </xf>
    <xf numFmtId="165" fontId="13" fillId="0" borderId="4" pivotButton="0" quotePrefix="0" xfId="4"/>
    <xf numFmtId="165" fontId="13" fillId="0" borderId="4" applyProtection="1" pivotButton="0" quotePrefix="0" xfId="4">
      <protection locked="0" hidden="0"/>
    </xf>
    <xf numFmtId="0" fontId="14" fillId="4" borderId="4" applyAlignment="1" pivotButton="0" quotePrefix="0" xfId="0">
      <alignment horizontal="left" indent="3"/>
    </xf>
    <xf numFmtId="0" fontId="0" fillId="0" borderId="3" pivotButton="0" quotePrefix="0" xfId="0"/>
    <xf numFmtId="0" fontId="0" fillId="0" borderId="22" pivotButton="0" quotePrefix="0" xfId="0"/>
    <xf numFmtId="166" fontId="3" fillId="0" borderId="4" applyAlignment="1" pivotButton="0" quotePrefix="0" xfId="1">
      <alignment vertical="center"/>
    </xf>
    <xf numFmtId="166" fontId="13" fillId="0" borderId="5" applyProtection="1" pivotButton="0" quotePrefix="0" xfId="4">
      <protection locked="0" hidden="0"/>
    </xf>
    <xf numFmtId="165" fontId="13" fillId="0" borderId="5" applyProtection="1" pivotButton="0" quotePrefix="0" xfId="4">
      <protection locked="0" hidden="0"/>
    </xf>
    <xf numFmtId="165" fontId="13" fillId="0" borderId="5" pivotButton="0" quotePrefix="0" xfId="4"/>
    <xf numFmtId="165" fontId="13" fillId="0" borderId="8" applyProtection="1" pivotButton="0" quotePrefix="0" xfId="4">
      <protection locked="0" hidden="0"/>
    </xf>
    <xf numFmtId="166" fontId="15" fillId="0" borderId="12" pivotButton="0" quotePrefix="0" xfId="4"/>
    <xf numFmtId="165" fontId="15" fillId="0" borderId="12" pivotButton="0" quotePrefix="0" xfId="4"/>
    <xf numFmtId="165" fontId="15" fillId="0" borderId="13" pivotButton="0" quotePrefix="0" xfId="4"/>
    <xf numFmtId="166" fontId="6" fillId="0" borderId="0" pivotButton="0" quotePrefix="0" xfId="4"/>
    <xf numFmtId="166" fontId="3" fillId="0" borderId="0" pivotButton="0" quotePrefix="0" xfId="1"/>
    <xf numFmtId="0" fontId="0" fillId="0" borderId="17" pivotButton="0" quotePrefix="0" xfId="0"/>
    <xf numFmtId="0" fontId="0" fillId="0" borderId="16" pivotButton="0" quotePrefix="0" xfId="0"/>
    <xf numFmtId="0" fontId="0" fillId="0" borderId="14" pivotButton="0" quotePrefix="0" xfId="0"/>
    <xf numFmtId="167" fontId="24" fillId="3" borderId="3" applyAlignment="1" pivotButton="0" quotePrefix="0" xfId="1">
      <alignment horizontal="left" vertical="center" wrapText="1"/>
    </xf>
    <xf numFmtId="0" fontId="0" fillId="0" borderId="15" pivotButton="0" quotePrefix="0" xfId="0"/>
    <xf numFmtId="0" fontId="0" fillId="0" borderId="7" pivotButton="0" quotePrefix="0" xfId="0"/>
    <xf numFmtId="0" fontId="3" fillId="0" borderId="4" applyAlignment="1" applyProtection="1" pivotButton="0" quotePrefix="0" xfId="0">
      <alignment horizontal="center"/>
      <protection locked="0" hidden="0"/>
    </xf>
    <xf numFmtId="0" fontId="32" fillId="0" borderId="4" applyAlignment="1" applyProtection="1" pivotButton="0" quotePrefix="0" xfId="0">
      <alignment vertical="top" wrapText="1"/>
      <protection locked="0" hidden="0"/>
    </xf>
    <xf numFmtId="166" fontId="3" fillId="0" borderId="4" applyProtection="1" pivotButton="0" quotePrefix="0" xfId="1">
      <protection locked="0" hidden="0"/>
    </xf>
    <xf numFmtId="166" fontId="3" fillId="0" borderId="4" applyAlignment="1" applyProtection="1" pivotButton="0" quotePrefix="0" xfId="1">
      <alignment vertical="center"/>
      <protection locked="0" hidden="0"/>
    </xf>
    <xf numFmtId="37" fontId="36" fillId="0" borderId="24" applyAlignment="1" applyProtection="1" pivotButton="0" quotePrefix="0" xfId="0">
      <alignment horizontal="center"/>
      <protection locked="0" hidden="0"/>
    </xf>
    <xf numFmtId="0" fontId="33" fillId="0" borderId="4" applyAlignment="1" applyProtection="1" pivotButton="0" quotePrefix="0" xfId="0">
      <alignment horizontal="left"/>
      <protection locked="0" hidden="0"/>
    </xf>
    <xf numFmtId="0" fontId="32" fillId="0" borderId="4" applyAlignment="1" applyProtection="1" pivotButton="0" quotePrefix="0" xfId="0">
      <alignment horizontal="left" vertical="top" wrapText="1"/>
      <protection locked="0" hidden="0"/>
    </xf>
    <xf numFmtId="37" fontId="36" fillId="0" borderId="23" applyAlignment="1" applyProtection="1" pivotButton="0" quotePrefix="0" xfId="0">
      <alignment horizontal="center"/>
      <protection locked="0" hidden="0"/>
    </xf>
    <xf numFmtId="0" fontId="34" fillId="0" borderId="4" applyAlignment="1" applyProtection="1" pivotButton="0" quotePrefix="0" xfId="0">
      <alignment horizontal="left"/>
      <protection locked="0" hidden="0"/>
    </xf>
    <xf numFmtId="37" fontId="35" fillId="0" borderId="23" applyAlignment="1" applyProtection="1" pivotButton="0" quotePrefix="0" xfId="0">
      <alignment horizontal="left"/>
      <protection locked="0" hidden="0"/>
    </xf>
    <xf numFmtId="0" fontId="22" fillId="0" borderId="4" applyProtection="1" pivotButton="0" quotePrefix="0" xfId="0">
      <protection locked="0" hidden="0"/>
    </xf>
  </cellXfs>
  <cellStyles count="17">
    <cellStyle name="Normal" xfId="0" builtinId="0"/>
    <cellStyle name="Currency" xfId="1" builtinId="4"/>
    <cellStyle name="Normal 2" xfId="2"/>
    <cellStyle name="Normal_G702" xfId="3"/>
    <cellStyle name="Normal_G703" xfId="4"/>
    <cellStyle name="Percent" xfId="5" builtinId="5"/>
    <cellStyle name="Comma" xfId="6" builtinId="3"/>
    <cellStyle name="Normal 3" xfId="7"/>
    <cellStyle name="Normal 4" xfId="8"/>
    <cellStyle name="Currency 2" xfId="9"/>
    <cellStyle name="Normal 5" xfId="10"/>
    <cellStyle name="Percent 2" xfId="11"/>
    <cellStyle name="Normal 2 2" xfId="12"/>
    <cellStyle name="Currency 2 2" xfId="13"/>
    <cellStyle name="Comma 2" xfId="14"/>
    <cellStyle name="Percent 4" xfId="15"/>
    <cellStyle name="Normal 4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twoCellAnchor editAs="oneCell">
    <from>
      <col>0</col>
      <colOff>166077</colOff>
      <row>41</row>
      <rowOff>10612</rowOff>
    </from>
    <to>
      <col>1</col>
      <colOff>1236736</colOff>
      <row>43</row>
      <rowOff>73269</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6077" y="7894381"/>
          <a:ext cx="1602154" cy="4143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695444</colOff>
      <row>21</row>
      <rowOff>81497</rowOff>
    </from>
    <to>
      <col>5</col>
      <colOff>533671</colOff>
      <row>23</row>
      <rowOff>111039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422808" y="8821406"/>
          <a:ext cx="2228136" cy="560633"/>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col>
      <colOff>687294</colOff>
      <row>17</row>
      <rowOff>74706</rowOff>
    </from>
    <to>
      <col>5</col>
      <colOff>569666</colOff>
      <row>19</row>
      <rowOff>97457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494118" y="8262471"/>
          <a:ext cx="2228136" cy="560633"/>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1</col>
      <colOff>672354</colOff>
      <row>18</row>
      <rowOff>74706</rowOff>
    </from>
    <to>
      <col>5</col>
      <colOff>509901</colOff>
      <row>20</row>
      <rowOff>97456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89530" y="7216588"/>
          <a:ext cx="2228136" cy="560633"/>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col>
      <colOff>627529</colOff>
      <row>15</row>
      <rowOff>89647</rowOff>
    </from>
    <to>
      <col>5</col>
      <colOff>509901</colOff>
      <row>17</row>
      <rowOff>112398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434353" y="6618941"/>
          <a:ext cx="2228136" cy="560633"/>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5</col>
      <colOff>192209</colOff>
      <row>0</row>
      <rowOff>9769</rowOff>
    </from>
    <to>
      <col>9</col>
      <colOff>673539</colOff>
      <row>3</row>
      <rowOff>19929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r:link="rId2"/>
        <a:srcRect xmlns:a="http://schemas.openxmlformats.org/drawingml/2006/main"/>
        <a:stretch xmlns:a="http://schemas.openxmlformats.org/drawingml/2006/main">
          <a:fillRect/>
        </a:stretch>
      </blipFill>
      <spPr bwMode="auto">
        <a:xfrm xmlns:a="http://schemas.openxmlformats.org/drawingml/2006/main">
          <a:off x="3562594" y="9769"/>
          <a:ext cx="3177637" cy="508391"/>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syncRef="A1" syncVertical="1" transitionEvaluation="1">
    <outlinePr summaryBelow="1" summaryRight="1"/>
    <pageSetUpPr fitToPage="1"/>
  </sheetPr>
  <dimension ref="A3:I43"/>
  <sheetViews>
    <sheetView showGridLines="0" zoomScaleNormal="100" workbookViewId="0">
      <selection activeCell="N23" sqref="N23"/>
    </sheetView>
  </sheetViews>
  <sheetFormatPr baseColWidth="10" defaultColWidth="8.5" defaultRowHeight="12"/>
  <cols>
    <col width="5" customWidth="1" style="1" min="1" max="1"/>
    <col width="18.6640625" customWidth="1" style="1" min="2" max="2"/>
    <col width="25.6640625" customWidth="1" style="1" min="3" max="3"/>
    <col width="2.1640625" customWidth="1" style="1" min="4" max="4"/>
    <col width="18.6640625" bestFit="1" customWidth="1" style="1" min="5" max="5"/>
    <col width="2.33203125" customWidth="1" style="1" min="6" max="6"/>
    <col width="17.5" customWidth="1" style="1" min="7" max="7"/>
    <col width="2.83203125" customWidth="1" style="1" min="8" max="8"/>
    <col width="4.1640625" customWidth="1" style="1" min="9" max="9"/>
    <col width="8.5" customWidth="1" style="1" min="10" max="16384"/>
  </cols>
  <sheetData>
    <row r="3" ht="48" customFormat="1" customHeight="1" s="20" thickBot="1">
      <c r="A3" s="84" t="inlineStr">
        <is>
          <t>Application for Payment</t>
        </is>
      </c>
      <c r="G3" s="23" t="inlineStr">
        <is>
          <t xml:space="preserve"> </t>
        </is>
      </c>
    </row>
    <row r="4" ht="10" customFormat="1" customHeight="1" s="20">
      <c r="A4" s="21" t="n"/>
      <c r="B4" s="21" t="n"/>
      <c r="C4" s="21" t="n"/>
      <c r="D4" s="21" t="n"/>
      <c r="E4" s="21" t="n"/>
      <c r="F4" s="21" t="n"/>
      <c r="G4" s="21" t="n"/>
      <c r="H4" s="21" t="n"/>
      <c r="I4" s="21" t="n"/>
    </row>
    <row r="5" ht="14.25" customFormat="1" customHeight="1" s="20">
      <c r="A5" s="86" t="inlineStr">
        <is>
          <t>GENERAL CONTRACTOR</t>
        </is>
      </c>
      <c r="C5" s="87" t="n"/>
      <c r="D5" s="22" t="n"/>
      <c r="E5" s="86" t="inlineStr">
        <is>
          <t xml:space="preserve">PROJECT: </t>
        </is>
      </c>
      <c r="F5" s="86" t="n"/>
      <c r="G5" s="86">
        <f>'Prelim Sheet'!F29</f>
        <v/>
      </c>
      <c r="H5" s="22" t="n"/>
      <c r="I5" s="22" t="n"/>
    </row>
    <row r="6" ht="14.25" customFormat="1" customHeight="1" s="20">
      <c r="A6" s="85">
        <f>'Prelim Sheet'!F14</f>
        <v/>
      </c>
      <c r="B6" s="85" t="n"/>
      <c r="C6" s="85" t="n"/>
      <c r="D6" s="22" t="n"/>
      <c r="E6" s="86" t="n"/>
      <c r="F6" s="86" t="n"/>
      <c r="G6" s="86" t="n"/>
      <c r="H6" s="22" t="n"/>
      <c r="I6" s="88" t="n"/>
    </row>
    <row r="7" ht="14.25" customFormat="1" customHeight="1" s="20">
      <c r="A7" s="85">
        <f>'Prelim Sheet'!F15</f>
        <v/>
      </c>
      <c r="C7" s="87" t="n"/>
      <c r="D7" s="22" t="n"/>
      <c r="E7" s="86" t="inlineStr">
        <is>
          <t xml:space="preserve">PROJECT #: </t>
        </is>
      </c>
      <c r="F7" s="86" t="n"/>
      <c r="G7" s="74">
        <f>'G703'!I3</f>
        <v/>
      </c>
      <c r="H7" s="22" t="n"/>
      <c r="I7" s="22" t="n"/>
    </row>
    <row r="8" ht="14.25" customFormat="1" customHeight="1" s="20">
      <c r="A8" s="85">
        <f>'Prelim Sheet'!F16</f>
        <v/>
      </c>
      <c r="C8" s="87" t="n"/>
      <c r="D8" s="22" t="n"/>
      <c r="E8" s="86" t="n"/>
      <c r="F8" s="86" t="n"/>
      <c r="G8" s="86" t="n"/>
      <c r="H8" s="22" t="n"/>
      <c r="I8" s="88" t="n"/>
    </row>
    <row r="9" ht="14.25" customFormat="1" customHeight="1" s="20">
      <c r="A9" s="85" t="inlineStr">
        <is>
          <t>Billing@712seagaze.com</t>
        </is>
      </c>
      <c r="C9" s="87" t="n"/>
      <c r="D9" s="22" t="n"/>
      <c r="E9" s="86" t="inlineStr">
        <is>
          <t>INVOICE #:</t>
        </is>
      </c>
      <c r="F9" s="88" t="n"/>
      <c r="G9" s="89">
        <f>'G703'!I2</f>
        <v/>
      </c>
      <c r="H9" s="22" t="n"/>
      <c r="I9" s="88" t="n"/>
    </row>
    <row r="10" ht="14.25" customFormat="1" customHeight="1" s="20">
      <c r="A10" s="86" t="n"/>
      <c r="C10" s="87" t="n"/>
      <c r="D10" s="22" t="n"/>
      <c r="E10" s="86" t="n"/>
      <c r="F10" s="88" t="n"/>
      <c r="G10" s="89" t="n"/>
      <c r="H10" s="22" t="n"/>
      <c r="I10" s="88" t="n"/>
    </row>
    <row r="11" ht="14.25" customFormat="1" customHeight="1" s="20">
      <c r="A11" s="86" t="inlineStr">
        <is>
          <t>FROM SUB-CONTRACTOR:</t>
        </is>
      </c>
      <c r="D11" s="22" t="n"/>
      <c r="E11" s="86" t="inlineStr">
        <is>
          <t>INVOICE DATE:</t>
        </is>
      </c>
      <c r="F11" s="88" t="n"/>
      <c r="G11" s="89">
        <f>'G703'!I4</f>
        <v/>
      </c>
      <c r="H11" s="22" t="n"/>
      <c r="I11" s="22" t="n"/>
    </row>
    <row r="12" ht="14.25" customFormat="1" customHeight="1" s="20">
      <c r="A12" s="85" t="inlineStr">
        <is>
          <t>Ferrocrete Builders, Inc</t>
        </is>
      </c>
      <c r="B12" s="88" t="n"/>
      <c r="D12" s="22" t="n"/>
      <c r="E12" s="86" t="n"/>
      <c r="F12" s="88" t="n"/>
      <c r="G12" s="89" t="n"/>
      <c r="H12" s="22" t="n"/>
      <c r="I12" s="88" t="n"/>
    </row>
    <row r="13" ht="14.25" customFormat="1" customHeight="1" s="20">
      <c r="A13" s="85" t="inlineStr">
        <is>
          <t>440 Western Ave Suite 203</t>
        </is>
      </c>
      <c r="B13" s="22" t="n"/>
      <c r="D13" s="22" t="n"/>
      <c r="E13" s="86" t="inlineStr">
        <is>
          <t>INVOICE THROUGH:</t>
        </is>
      </c>
      <c r="F13" s="88" t="n"/>
      <c r="G13" s="89">
        <f>'G703'!I5</f>
        <v/>
      </c>
      <c r="H13" s="22" t="n"/>
      <c r="I13" s="22" t="n"/>
    </row>
    <row r="14" ht="14.25" customFormat="1" customHeight="1" s="20">
      <c r="A14" s="85" t="inlineStr">
        <is>
          <t>Glendale, CA 91201</t>
        </is>
      </c>
      <c r="B14" s="88" t="n"/>
      <c r="C14" s="22" t="n"/>
      <c r="D14" s="22" t="n"/>
      <c r="E14" s="86" t="n"/>
      <c r="F14" s="88" t="n"/>
      <c r="G14" s="89" t="n"/>
      <c r="H14" s="22" t="n"/>
      <c r="I14" s="88" t="n"/>
    </row>
    <row r="15" ht="14.25" customFormat="1" customHeight="1" s="20" thickBot="1">
      <c r="A15" s="88" t="n"/>
      <c r="B15" s="22" t="n"/>
      <c r="C15" s="22" t="n"/>
      <c r="D15" s="22" t="n"/>
      <c r="E15" s="86" t="n"/>
      <c r="F15" s="88" t="n"/>
      <c r="G15" s="22" t="n"/>
      <c r="H15" s="22" t="n"/>
      <c r="I15" s="88" t="n"/>
    </row>
    <row r="16" ht="3" customFormat="1" customHeight="1" s="20">
      <c r="A16" s="21" t="n"/>
      <c r="B16" s="21" t="n"/>
      <c r="C16" s="21" t="n"/>
      <c r="D16" s="21" t="n"/>
      <c r="E16" s="21" t="n"/>
      <c r="F16" s="21" t="n"/>
      <c r="G16" s="21" t="n"/>
      <c r="H16" s="21" t="n"/>
      <c r="I16" s="21" t="n"/>
    </row>
    <row r="17" ht="18" customFormat="1" customHeight="1" s="20">
      <c r="A17" s="19" t="inlineStr">
        <is>
          <t>CONTRACTOR'S APPLICATION FOR PAYMENT</t>
        </is>
      </c>
      <c r="I17" s="25" t="n"/>
    </row>
    <row r="18" ht="10.5" customFormat="1" customHeight="1" s="20">
      <c r="A18" s="26" t="inlineStr">
        <is>
          <t>Application is made for payment, as shown below, in connection with the Contract.</t>
        </is>
      </c>
      <c r="I18" s="25" t="n"/>
    </row>
    <row r="19" ht="10.5" customFormat="1" customHeight="1" s="20">
      <c r="A19" s="25" t="inlineStr">
        <is>
          <t>Continuation Sheet, is attached.</t>
        </is>
      </c>
      <c r="I19" s="25" t="n"/>
    </row>
    <row r="20" ht="10.5" customFormat="1" customHeight="1" s="20">
      <c r="A20" s="25" t="inlineStr">
        <is>
          <t xml:space="preserve"> </t>
        </is>
      </c>
      <c r="I20" s="25" t="n"/>
    </row>
    <row r="21" ht="12.75" customFormat="1" customHeight="1" s="20">
      <c r="G21" s="22" t="n"/>
    </row>
    <row r="22" ht="20" customFormat="1" customHeight="1" s="20">
      <c r="A22" s="24" t="inlineStr">
        <is>
          <t xml:space="preserve">1.  ORIGINAL CONTRACT SUM </t>
        </is>
      </c>
      <c r="F22" s="27" t="inlineStr">
        <is>
          <t xml:space="preserve"> $</t>
        </is>
      </c>
      <c r="G22" s="76">
        <f>SUM('G703'!C15:C72)</f>
        <v/>
      </c>
      <c r="I22" s="30" t="n"/>
    </row>
    <row r="23" ht="20" customFormat="1" customHeight="1" s="20">
      <c r="A23" s="65" t="inlineStr">
        <is>
          <t>2.  CHANGE ORDERS</t>
        </is>
      </c>
      <c r="F23" s="27" t="inlineStr">
        <is>
          <t xml:space="preserve"> $</t>
        </is>
      </c>
      <c r="G23" s="107">
        <f>SUM('G703'!C74:C76)</f>
        <v/>
      </c>
    </row>
    <row r="24" ht="20" customFormat="1" customHeight="1" s="20">
      <c r="A24" s="65" t="inlineStr">
        <is>
          <t>3.  REVISED CONTRACT SUM</t>
        </is>
      </c>
      <c r="F24" s="27" t="inlineStr">
        <is>
          <t>$</t>
        </is>
      </c>
      <c r="G24" s="104">
        <f>G23+G22</f>
        <v/>
      </c>
      <c r="I24" s="24" t="n"/>
    </row>
    <row r="25" ht="10" customFormat="1" customHeight="1" s="20" thickBot="1">
      <c r="A25" s="68" t="n"/>
      <c r="B25" s="69" t="n"/>
      <c r="C25" s="69" t="n"/>
      <c r="D25" s="70" t="n"/>
      <c r="E25" s="70" t="n"/>
      <c r="F25" s="71" t="n"/>
      <c r="G25" s="72" t="n"/>
      <c r="H25" s="69" t="n"/>
      <c r="I25" s="73" t="n"/>
    </row>
    <row r="26" ht="25" customFormat="1" customHeight="1" s="20">
      <c r="A26" s="24" t="inlineStr">
        <is>
          <t>4.  TOTAL COMPLETED &amp; STORED TO DATE (Column G on attached sheet)</t>
        </is>
      </c>
      <c r="F26" s="27" t="inlineStr">
        <is>
          <t>$</t>
        </is>
      </c>
      <c r="G26" s="76">
        <f>'G703'!G78</f>
        <v/>
      </c>
    </row>
    <row r="27" ht="20" customFormat="1" customHeight="1" s="20">
      <c r="A27" s="65" t="inlineStr">
        <is>
          <t>5.  RETAINAGE:</t>
        </is>
      </c>
      <c r="C27" s="66" t="n">
        <v>0.1</v>
      </c>
      <c r="F27" s="27" t="inlineStr">
        <is>
          <t>$</t>
        </is>
      </c>
      <c r="G27" s="155">
        <f>'G703'!J78</f>
        <v/>
      </c>
      <c r="I27" s="64" t="n"/>
    </row>
    <row r="28" ht="20" customFormat="1" customHeight="1" s="20">
      <c r="A28" s="65" t="inlineStr">
        <is>
          <t xml:space="preserve">6.  TOTAL EARNED LESS RETAINAGE </t>
        </is>
      </c>
      <c r="F28" s="27" t="inlineStr">
        <is>
          <t>$</t>
        </is>
      </c>
      <c r="G28" s="76">
        <f>G26-G27</f>
        <v/>
      </c>
      <c r="I28" s="24" t="n"/>
    </row>
    <row r="29" ht="20" customFormat="1" customHeight="1" s="20">
      <c r="A29" s="24" t="inlineStr">
        <is>
          <t>7.  LESS PREVIOUS CERTIFICATES FOR PAYMENT (Line 6 from prior app)</t>
        </is>
      </c>
      <c r="F29" s="27" t="inlineStr">
        <is>
          <t>$</t>
        </is>
      </c>
      <c r="G29" s="104">
        <f>(1-C27)*'G703'!D78</f>
        <v/>
      </c>
    </row>
    <row r="30" ht="20" customFormat="1" customHeight="1" s="20">
      <c r="A30" s="30" t="inlineStr">
        <is>
          <t>8.  CURRENT PAYMENT DUE (Current gross less current retainage)</t>
        </is>
      </c>
      <c r="B30" s="31" t="n"/>
      <c r="C30" s="32" t="n"/>
      <c r="D30" s="32" t="n"/>
      <c r="E30" s="33" t="n"/>
      <c r="F30" s="33" t="inlineStr">
        <is>
          <t>$</t>
        </is>
      </c>
      <c r="G30" s="105">
        <f>G28-G29</f>
        <v/>
      </c>
    </row>
    <row r="31" ht="20" customFormat="1" customHeight="1" s="20">
      <c r="A31" s="24" t="inlineStr">
        <is>
          <t xml:space="preserve">9.  BALANCE TO FINISH, INCLUDING RETAINAGE </t>
        </is>
      </c>
      <c r="B31" s="23" t="n"/>
      <c r="E31" s="27" t="n"/>
      <c r="F31" s="27" t="inlineStr">
        <is>
          <t>$</t>
        </is>
      </c>
      <c r="G31" s="104">
        <f>G24-G28</f>
        <v/>
      </c>
      <c r="I31" s="25" t="n"/>
    </row>
    <row r="32" ht="12.75" customFormat="1" customHeight="1" s="20">
      <c r="B32" s="24" t="n"/>
    </row>
    <row r="33" ht="13.5" customFormat="1" customHeight="1" s="20" thickBot="1">
      <c r="I33" s="25" t="n"/>
    </row>
    <row r="34" customFormat="1" s="20">
      <c r="A34" s="28" t="n"/>
      <c r="B34" s="29" t="n"/>
      <c r="C34" s="29" t="n"/>
      <c r="D34" s="29" t="n"/>
      <c r="E34" s="29" t="n"/>
      <c r="F34" s="29" t="n"/>
      <c r="G34" s="29" t="n"/>
      <c r="H34" s="29" t="n"/>
      <c r="I34" s="28" t="inlineStr">
        <is>
          <t xml:space="preserve"> </t>
        </is>
      </c>
    </row>
    <row r="35" ht="13" customFormat="1" customHeight="1" s="20">
      <c r="A35" s="67" t="inlineStr">
        <is>
          <t>The undersigned Subcontractor certifies that to the best of the Subcontractor's knowledge,</t>
        </is>
      </c>
    </row>
    <row r="36" ht="13" customFormat="1" customHeight="1" s="20">
      <c r="A36" s="67" t="inlineStr">
        <is>
          <t>information and belief the Work covered by this Application for Payment has been</t>
        </is>
      </c>
    </row>
    <row r="37" ht="13" customFormat="1" customHeight="1" s="20">
      <c r="A37" s="67" t="inlineStr">
        <is>
          <t>completed in accordance with the Contract Documents, that all amounts have been paid by</t>
        </is>
      </c>
    </row>
    <row r="38" ht="13" customFormat="1" customHeight="1" s="20">
      <c r="A38" s="67" t="inlineStr">
        <is>
          <t>the Contractor for Work for which previous Certificates for Payment were issued and</t>
        </is>
      </c>
    </row>
    <row r="39" ht="13" customFormat="1" customHeight="1" s="20">
      <c r="A39" s="67" t="inlineStr">
        <is>
          <t>payments received from the Owner, and that current payment shown herein is now due.</t>
        </is>
      </c>
    </row>
    <row r="40" customFormat="1" s="20"/>
    <row r="41" customFormat="1" s="20">
      <c r="A41" s="20" t="inlineStr">
        <is>
          <t>SUBCONTRACTOR</t>
        </is>
      </c>
    </row>
    <row r="42" customFormat="1" s="20"/>
    <row r="43" ht="15" customFormat="1" customHeight="1" s="20" thickBot="1">
      <c r="A43" s="20" t="inlineStr">
        <is>
          <t xml:space="preserve">By: </t>
        </is>
      </c>
      <c r="B43" s="69" t="n"/>
      <c r="C43" s="69" t="n"/>
      <c r="D43" s="69" t="n"/>
      <c r="E43" s="27" t="inlineStr">
        <is>
          <t>Date:</t>
        </is>
      </c>
      <c r="F43" s="69" t="n"/>
      <c r="G43" s="93">
        <f>'G703'!I4</f>
        <v/>
      </c>
      <c r="H43" s="69" t="n"/>
      <c r="I43" s="69" t="n"/>
    </row>
    <row r="44" customFormat="1" s="20"/>
    <row r="45" customFormat="1" s="20"/>
    <row r="46" customFormat="1" s="20"/>
    <row r="47" customFormat="1" s="20"/>
    <row r="48" customFormat="1" s="20"/>
  </sheetData>
  <sheetProtection selectLockedCells="0" selectUnlockedCells="0" sheet="1" objects="0" insertRows="1" insertHyperlinks="1" autoFilter="1" scenarios="0" formatColumns="1" deleteColumns="1" insertColumns="1" pivotTables="1" deleteRows="1" formatCells="1" formatRows="1" sort="1" password="D5F3"/>
  <printOptions horizontalCentered="1" gridLinesSet="0"/>
  <pageMargins left="0.5" right="0.263" top="0.45" bottom="0.019" header="0.03" footer="0.23"/>
  <pageSetup orientation="portrait" scale="95" horizontalDpi="4294967292" verticalDpi="4294967292"/>
  <drawing xmlns:r="http://schemas.openxmlformats.org/officeDocument/2006/relationships" r:id="rId1"/>
</worksheet>
</file>

<file path=xl/worksheets/sheet2.xml><?xml version="1.0" encoding="utf-8"?>
<worksheet xmlns="http://schemas.openxmlformats.org/spreadsheetml/2006/main">
  <sheetPr syncRef="A1" syncVertical="1" transitionEvaluation="1">
    <outlinePr summaryBelow="1" summaryRight="1"/>
    <pageSetUpPr fitToPage="1"/>
  </sheetPr>
  <dimension ref="A1:IJ88"/>
  <sheetViews>
    <sheetView showGridLines="0" tabSelected="1" zoomScale="110" zoomScaleNormal="110" workbookViewId="0">
      <selection activeCell="E69" sqref="E69"/>
    </sheetView>
  </sheetViews>
  <sheetFormatPr baseColWidth="10" defaultColWidth="8.5" defaultRowHeight="13"/>
  <cols>
    <col width="13.83203125" customWidth="1" style="53" min="1" max="1"/>
    <col width="39.6640625" customWidth="1" style="53" min="2" max="2"/>
    <col width="15.6640625" customWidth="1" style="156" min="3" max="3"/>
    <col width="15.6640625" customWidth="1" style="53" min="4" max="7"/>
    <col width="8.5" customWidth="1" style="53" min="8" max="8"/>
    <col width="15.5" customWidth="1" style="53" min="9" max="9"/>
    <col width="15.6640625" customWidth="1" style="53" min="10" max="10"/>
    <col width="8.5" customWidth="1" style="53" min="11" max="16384"/>
  </cols>
  <sheetData>
    <row r="1" ht="17" customHeight="1" thickBot="1">
      <c r="A1" s="90" t="inlineStr">
        <is>
          <t>CONTINUATION SHEET</t>
        </is>
      </c>
      <c r="B1" s="50" t="n"/>
      <c r="C1" s="157" t="n"/>
      <c r="D1" s="50" t="n"/>
      <c r="E1" s="4" t="inlineStr">
        <is>
          <t xml:space="preserve"> </t>
        </is>
      </c>
      <c r="F1" s="50" t="n"/>
      <c r="G1" s="5" t="n"/>
      <c r="H1" s="50" t="n"/>
      <c r="I1" s="17" t="inlineStr">
        <is>
          <t>PAGE TWO OF TWO PAGES</t>
        </is>
      </c>
      <c r="J1" s="52" t="n"/>
      <c r="IH1" s="54" t="inlineStr">
        <is>
          <t>/WGPD</t>
        </is>
      </c>
    </row>
    <row r="2" ht="12" customHeight="1">
      <c r="A2" s="6" t="n"/>
      <c r="H2" s="56" t="inlineStr">
        <is>
          <t>APPLICATION NO:</t>
        </is>
      </c>
      <c r="I2" s="18" t="n">
        <v>6</v>
      </c>
      <c r="J2" s="8" t="n"/>
      <c r="IH2" s="54" t="inlineStr">
        <is>
          <t>/wir.{d 25}~{r 6}/cf~~{L 6}~</t>
        </is>
      </c>
    </row>
    <row r="3" ht="12" customHeight="1">
      <c r="A3" s="6" t="n"/>
      <c r="H3" s="56" t="inlineStr">
        <is>
          <t>PROJECT NO:</t>
        </is>
      </c>
      <c r="I3" s="74" t="inlineStr">
        <is>
          <t>25-05</t>
        </is>
      </c>
      <c r="J3" s="8" t="n"/>
      <c r="IH3" s="54" t="inlineStr">
        <is>
          <t>/wgpe</t>
        </is>
      </c>
    </row>
    <row r="4" ht="12" customHeight="1">
      <c r="A4" s="6" t="n"/>
      <c r="H4" s="56" t="inlineStr">
        <is>
          <t>APPLICATION DATE:</t>
        </is>
      </c>
      <c r="I4" s="7" t="inlineStr">
        <is>
          <t>4/27/2026</t>
        </is>
      </c>
      <c r="J4" s="8" t="n"/>
      <c r="IH4" s="54" t="inlineStr">
        <is>
          <t>/ru.{d 26}</t>
        </is>
      </c>
      <c r="II4" s="8" t="n"/>
      <c r="IJ4" s="8" t="n"/>
    </row>
    <row r="5" ht="12" customHeight="1">
      <c r="A5" s="6" t="n"/>
      <c r="H5" s="56" t="inlineStr">
        <is>
          <t>PERIOD TO:</t>
        </is>
      </c>
      <c r="I5" s="7" t="inlineStr">
        <is>
          <t>4/30/2026</t>
        </is>
      </c>
      <c r="J5" s="8" t="n"/>
      <c r="IH5" s="54" t="inlineStr">
        <is>
          <t>{L 5}</t>
        </is>
      </c>
      <c r="II5" s="8" t="n"/>
      <c r="IJ5" s="8" t="n"/>
    </row>
    <row r="6" ht="6" customHeight="1">
      <c r="H6" s="57" t="n"/>
      <c r="I6" s="9" t="n"/>
      <c r="J6" s="9" t="n"/>
      <c r="IH6" s="54" t="inlineStr">
        <is>
          <t>{L 9}</t>
        </is>
      </c>
      <c r="II6" s="8" t="n"/>
      <c r="IJ6" s="8" t="n"/>
    </row>
    <row r="7" ht="14" customHeight="1">
      <c r="A7" s="10" t="inlineStr">
        <is>
          <t>A</t>
        </is>
      </c>
      <c r="B7" s="10" t="inlineStr">
        <is>
          <t>B</t>
        </is>
      </c>
      <c r="C7" s="158" t="inlineStr">
        <is>
          <t>C</t>
        </is>
      </c>
      <c r="D7" s="10" t="inlineStr">
        <is>
          <t>D</t>
        </is>
      </c>
      <c r="E7" s="10" t="inlineStr">
        <is>
          <t>E</t>
        </is>
      </c>
      <c r="F7" s="10" t="inlineStr">
        <is>
          <t>F</t>
        </is>
      </c>
      <c r="G7" s="11" t="inlineStr">
        <is>
          <t>G</t>
        </is>
      </c>
      <c r="H7" s="12" t="n"/>
      <c r="I7" s="11" t="inlineStr">
        <is>
          <t>H</t>
        </is>
      </c>
      <c r="J7" s="13" t="n"/>
      <c r="IH7" s="54" t="inlineStr">
        <is>
          <t>/ru.{d 26}~</t>
        </is>
      </c>
    </row>
    <row r="8" ht="9.75" customHeight="1">
      <c r="A8" s="159" t="inlineStr">
        <is>
          <t>LEVEL</t>
        </is>
      </c>
      <c r="B8" s="159" t="inlineStr">
        <is>
          <t>DESCRIPTION OF WORK</t>
        </is>
      </c>
      <c r="C8" s="160" t="inlineStr">
        <is>
          <t>SCHEDULED VALUE</t>
        </is>
      </c>
      <c r="D8" s="159" t="inlineStr">
        <is>
          <t>WORK COMPLETED</t>
        </is>
      </c>
      <c r="E8" s="161" t="n"/>
      <c r="F8" s="91" t="inlineStr">
        <is>
          <t>MATERIALS</t>
        </is>
      </c>
      <c r="G8" s="91" t="inlineStr">
        <is>
          <t>TOTAL</t>
        </is>
      </c>
      <c r="H8" s="159" t="inlineStr">
        <is>
          <t>% (G + C)</t>
        </is>
      </c>
      <c r="I8" s="162" t="inlineStr">
        <is>
          <t>BALANCE TO 
FINISH (C - G)</t>
        </is>
      </c>
      <c r="J8" s="159" t="inlineStr">
        <is>
          <t>Retention</t>
        </is>
      </c>
    </row>
    <row r="9" ht="9.75" customHeight="1">
      <c r="A9" s="163" t="n"/>
      <c r="B9" s="163" t="n"/>
      <c r="C9" s="163" t="n"/>
      <c r="D9" s="164" t="n"/>
      <c r="E9" s="165" t="n"/>
      <c r="F9" s="91" t="inlineStr">
        <is>
          <t>PRESENTLY</t>
        </is>
      </c>
      <c r="G9" s="91" t="inlineStr">
        <is>
          <t>COMPLETED</t>
        </is>
      </c>
      <c r="H9" s="163" t="n"/>
      <c r="I9" s="163" t="n"/>
      <c r="J9" s="163" t="n"/>
    </row>
    <row r="10" ht="9.75" customHeight="1">
      <c r="A10" s="163" t="n"/>
      <c r="B10" s="163" t="n"/>
      <c r="C10" s="163" t="n"/>
      <c r="D10" s="162" t="inlineStr">
        <is>
          <t>FROM PREVIOUS APPLICATION</t>
        </is>
      </c>
      <c r="E10" s="159" t="inlineStr">
        <is>
          <t>THIS PERIOD</t>
        </is>
      </c>
      <c r="F10" s="91" t="inlineStr">
        <is>
          <t>STORED</t>
        </is>
      </c>
      <c r="G10" s="91" t="inlineStr">
        <is>
          <t>AND STORED</t>
        </is>
      </c>
      <c r="H10" s="163" t="n"/>
      <c r="I10" s="163" t="n"/>
      <c r="J10" s="163" t="n"/>
    </row>
    <row r="11" ht="9.75" customHeight="1">
      <c r="A11" s="163" t="n"/>
      <c r="B11" s="163" t="n"/>
      <c r="C11" s="163" t="n"/>
      <c r="D11" s="163" t="n"/>
      <c r="E11" s="163" t="n"/>
      <c r="F11" s="91" t="inlineStr">
        <is>
          <t>(NOT IN</t>
        </is>
      </c>
      <c r="G11" s="91" t="inlineStr">
        <is>
          <t>TO DATE</t>
        </is>
      </c>
      <c r="H11" s="163" t="n"/>
      <c r="I11" s="163" t="n"/>
      <c r="J11" s="163" t="n"/>
    </row>
    <row r="12" ht="9.75" customHeight="1">
      <c r="A12" s="166" t="n"/>
      <c r="B12" s="166" t="n"/>
      <c r="C12" s="166" t="n"/>
      <c r="D12" s="166" t="n"/>
      <c r="E12" s="166" t="n"/>
      <c r="F12" s="92" t="inlineStr">
        <is>
          <t>D OR E)</t>
        </is>
      </c>
      <c r="G12" s="92" t="inlineStr">
        <is>
          <t>(D+E+F)</t>
        </is>
      </c>
      <c r="H12" s="166" t="n"/>
      <c r="I12" s="166" t="n"/>
      <c r="J12" s="166" t="n"/>
    </row>
    <row r="13">
      <c r="A13" s="58" t="n"/>
      <c r="B13" s="45" t="n"/>
      <c r="C13" s="167" t="n"/>
      <c r="D13" s="167" t="n"/>
      <c r="E13" s="168" t="n"/>
      <c r="F13" s="168" t="n"/>
      <c r="G13" s="169" t="n"/>
      <c r="H13" s="43" t="n"/>
      <c r="I13" s="169" t="n"/>
      <c r="J13" s="170" t="n"/>
    </row>
    <row r="14" ht="14" customHeight="1">
      <c r="A14" s="171" t="inlineStr">
        <is>
          <t>Contract Scope</t>
        </is>
      </c>
      <c r="B14" s="172" t="n"/>
      <c r="C14" s="172" t="n"/>
      <c r="D14" s="172" t="n"/>
      <c r="E14" s="172" t="n"/>
      <c r="F14" s="172" t="n"/>
      <c r="G14" s="172" t="n"/>
      <c r="H14" s="172" t="n"/>
      <c r="I14" s="172" t="n"/>
      <c r="J14" s="173" t="n"/>
    </row>
    <row r="15">
      <c r="A15" s="190" t="n"/>
      <c r="B15" s="191" t="inlineStr">
        <is>
          <t xml:space="preserve"> Mobilization </t>
        </is>
      </c>
      <c r="C15" s="192" t="n">
        <v>50000</v>
      </c>
      <c r="D15" s="167" t="n">
        <v>50000</v>
      </c>
      <c r="E15" s="168" t="n"/>
      <c r="F15" s="168" t="n"/>
      <c r="G15" s="169">
        <f>IF(D15+E15+F15=0,"",D15+E15+F15)</f>
        <v/>
      </c>
      <c r="H15" s="43">
        <f>IF(G15=0,"",IF(ISERR(G15/C15),"",G15/C15))</f>
        <v/>
      </c>
      <c r="I15" s="169">
        <f>IF(C15-G15=0,"",C15-G15)</f>
        <v/>
      </c>
      <c r="J15" s="170">
        <f>G15*'702'!$C$27</f>
        <v/>
      </c>
    </row>
    <row r="16">
      <c r="A16" s="190" t="n"/>
      <c r="B16" s="191" t="inlineStr">
        <is>
          <t xml:space="preserve"> Shop Drawings</t>
        </is>
      </c>
      <c r="C16" s="192" t="n">
        <v>45000</v>
      </c>
      <c r="D16" s="167" t="n">
        <v>45000</v>
      </c>
      <c r="E16" s="168" t="n"/>
      <c r="F16" s="168" t="n"/>
      <c r="G16" s="169">
        <f>IF(D16+E16+F16=0,"",D16+E16+F16)</f>
        <v/>
      </c>
      <c r="H16" s="43">
        <f>IF(G16=0,"",IF(ISERR(G16/C16),"",G16/C16))</f>
        <v/>
      </c>
      <c r="I16" s="169">
        <f>IF(C16-G16=0,"",C16-G16)</f>
        <v/>
      </c>
      <c r="J16" s="170">
        <f>G16*'702'!$C$27</f>
        <v/>
      </c>
    </row>
    <row r="17">
      <c r="A17" s="190" t="n"/>
      <c r="B17" s="191" t="inlineStr">
        <is>
          <t xml:space="preserve"> Column Forms </t>
        </is>
      </c>
      <c r="C17" s="192" t="n">
        <v>30000</v>
      </c>
      <c r="D17" s="167" t="n">
        <v>30000</v>
      </c>
      <c r="E17" s="168" t="n"/>
      <c r="F17" s="168" t="n"/>
      <c r="G17" s="169">
        <f>IF(D17+E17+F17=0,"",D17+E17+F17)</f>
        <v/>
      </c>
      <c r="H17" s="43">
        <f>IF(G17=0,"",IF(ISERR(G17/C17),"",G17/C17))</f>
        <v/>
      </c>
      <c r="I17" s="169">
        <f>IF(C17-G17=0,"",C17-G17)</f>
        <v/>
      </c>
      <c r="J17" s="170">
        <f>G17*'702'!$C$27</f>
        <v/>
      </c>
    </row>
    <row r="18">
      <c r="A18" s="190" t="n"/>
      <c r="B18" s="191" t="inlineStr">
        <is>
          <t xml:space="preserve"> Wall Forms </t>
        </is>
      </c>
      <c r="C18" s="192" t="n">
        <v>40000</v>
      </c>
      <c r="D18" s="167" t="n">
        <v>40000</v>
      </c>
      <c r="E18" s="168" t="n"/>
      <c r="F18" s="168" t="n"/>
      <c r="G18" s="169">
        <f>IF(D18+E18+F18=0,"",D18+E18+F18)</f>
        <v/>
      </c>
      <c r="H18" s="43">
        <f>IF(G18=0,"",IF(ISERR(G18/C18),"",G18/C18))</f>
        <v/>
      </c>
      <c r="I18" s="169">
        <f>IF(C18-G18=0,"",C18-G18)</f>
        <v/>
      </c>
      <c r="J18" s="170">
        <f>G18*'702'!$C$27</f>
        <v/>
      </c>
    </row>
    <row r="19" ht="14" customHeight="1">
      <c r="A19" s="190" t="n"/>
      <c r="B19" s="191" t="inlineStr">
        <is>
          <t xml:space="preserve"> Deck Forms </t>
        </is>
      </c>
      <c r="C19" s="193" t="n">
        <v>65000</v>
      </c>
      <c r="D19" s="167" t="n">
        <v>65000</v>
      </c>
      <c r="E19" s="168" t="n"/>
      <c r="F19" s="168" t="n"/>
      <c r="G19" s="169">
        <f>IF(D19+E19+F19=0,"",D19+E19+F19)</f>
        <v/>
      </c>
      <c r="H19" s="43">
        <f>IF(G19=0,"",IF(ISERR(G19/C19),"",G19/C19))</f>
        <v/>
      </c>
      <c r="I19" s="169">
        <f>IF(C19-G19=0,"",C19-G19)</f>
        <v/>
      </c>
      <c r="J19" s="170">
        <f>G19*'702'!$C$27</f>
        <v/>
      </c>
    </row>
    <row r="20" ht="14" customHeight="1">
      <c r="A20" s="190" t="n"/>
      <c r="B20" s="191" t="n"/>
      <c r="C20" s="193" t="n"/>
      <c r="D20" s="167" t="inlineStr"/>
      <c r="E20" s="168" t="n"/>
      <c r="F20" s="168" t="n"/>
      <c r="G20" s="169">
        <f>IF(D20+E20+F20=0,"",D20+E20+F20)</f>
        <v/>
      </c>
      <c r="H20" s="43">
        <f>IF(G20=0,"",IF(ISERR(G20/C20),"",G20/C20))</f>
        <v/>
      </c>
      <c r="I20" s="169">
        <f>IF(C20-G20=0,"",C20-G20)</f>
        <v/>
      </c>
      <c r="J20" s="170">
        <f>G20*'702'!$C$27</f>
        <v/>
      </c>
    </row>
    <row r="21" ht="14" customHeight="1">
      <c r="A21" s="194" t="inlineStr">
        <is>
          <t>B3</t>
        </is>
      </c>
      <c r="B21" s="191" t="inlineStr">
        <is>
          <t xml:space="preserve"> Footings - Layout, Trench Compact</t>
        </is>
      </c>
      <c r="C21" s="193" t="n">
        <v>100000</v>
      </c>
      <c r="D21" s="167" t="n">
        <v>100000</v>
      </c>
      <c r="E21" s="168" t="n"/>
      <c r="F21" s="168" t="n"/>
      <c r="G21" s="169">
        <f>IF(D21+E21+F21=0,"",D21+E21+F21)</f>
        <v/>
      </c>
      <c r="H21" s="43">
        <f>IF(G21=0,"",IF(ISERR(G21/C21),"",G21/C21))</f>
        <v/>
      </c>
      <c r="I21" s="169">
        <f>IF(C21-G21=0,"",C21-G21)</f>
        <v/>
      </c>
      <c r="J21" s="170">
        <f>G21*'702'!$C$27</f>
        <v/>
      </c>
    </row>
    <row r="22" ht="14" customHeight="1">
      <c r="A22" s="194" t="inlineStr">
        <is>
          <t>B3</t>
        </is>
      </c>
      <c r="B22" s="191" t="inlineStr">
        <is>
          <t xml:space="preserve"> Footings - Reinforcing</t>
        </is>
      </c>
      <c r="C22" s="193" t="n">
        <v>165000</v>
      </c>
      <c r="D22" s="167" t="n">
        <v>165000</v>
      </c>
      <c r="E22" s="168" t="n"/>
      <c r="F22" s="168" t="n"/>
      <c r="G22" s="169">
        <f>IF(D22+E22+F22=0,"",D22+E22+F22)</f>
        <v/>
      </c>
      <c r="H22" s="43">
        <f>IF(G22=0,"",IF(ISERR(G22/C22),"",G22/C22))</f>
        <v/>
      </c>
      <c r="I22" s="169">
        <f>IF(C22-G22=0,"",C22-G22)</f>
        <v/>
      </c>
      <c r="J22" s="170">
        <f>G22*'702'!$C$27</f>
        <v/>
      </c>
    </row>
    <row r="23" ht="14" customHeight="1">
      <c r="A23" s="194" t="inlineStr">
        <is>
          <t>B3</t>
        </is>
      </c>
      <c r="B23" s="191" t="inlineStr">
        <is>
          <t xml:space="preserve"> Footings - Pour</t>
        </is>
      </c>
      <c r="C23" s="193" t="n">
        <v>460000</v>
      </c>
      <c r="D23" s="167" t="n">
        <v>460000</v>
      </c>
      <c r="E23" s="168" t="n"/>
      <c r="F23" s="168" t="n"/>
      <c r="G23" s="169">
        <f>IF(D23+E23+F23=0,"",D23+E23+F23)</f>
        <v/>
      </c>
      <c r="H23" s="43">
        <f>IF(G23=0,"",IF(ISERR(G23/C23),"",G23/C23))</f>
        <v/>
      </c>
      <c r="I23" s="169">
        <f>IF(C23-G23=0,"",C23-G23)</f>
        <v/>
      </c>
      <c r="J23" s="170">
        <f>G23*'702'!$C$27</f>
        <v/>
      </c>
    </row>
    <row r="24">
      <c r="A24" s="194" t="inlineStr">
        <is>
          <t>B3</t>
        </is>
      </c>
      <c r="B24" s="191" t="inlineStr">
        <is>
          <t xml:space="preserve"> Columns - Reinforcing</t>
        </is>
      </c>
      <c r="C24" s="193" t="n">
        <v>26000</v>
      </c>
      <c r="D24" s="167" t="n">
        <v>26000</v>
      </c>
      <c r="E24" s="168" t="n"/>
      <c r="F24" s="168" t="n"/>
      <c r="G24" s="169">
        <f>IF(D24+E24+F24=0,"",D24+E24+F24)</f>
        <v/>
      </c>
      <c r="H24" s="43">
        <f>IF(G24=0,"",IF(ISERR(G24/C24),"",G24/C24))</f>
        <v/>
      </c>
      <c r="I24" s="169">
        <f>IF(C24-G24=0,"",C24-G24)</f>
        <v/>
      </c>
      <c r="J24" s="170">
        <f>G24*'702'!$C$27</f>
        <v/>
      </c>
    </row>
    <row r="25">
      <c r="A25" s="194" t="inlineStr">
        <is>
          <t>B3</t>
        </is>
      </c>
      <c r="B25" s="191" t="inlineStr">
        <is>
          <t xml:space="preserve"> Columns - Form &amp; Pour</t>
        </is>
      </c>
      <c r="C25" s="193" t="n">
        <v>30000</v>
      </c>
      <c r="D25" s="167" t="n">
        <v>30000</v>
      </c>
      <c r="E25" s="168" t="n"/>
      <c r="F25" s="168" t="n"/>
      <c r="G25" s="169">
        <f>IF(D25+E25+F25=0,"",D25+E25+F25)</f>
        <v/>
      </c>
      <c r="H25" s="43">
        <f>IF(G25=0,"",IF(ISERR(G25/C25),"",G25/C25))</f>
        <v/>
      </c>
      <c r="I25" s="169">
        <f>IF(C25-G25=0,"",C25-G25)</f>
        <v/>
      </c>
      <c r="J25" s="170">
        <f>G25*'702'!$C$27</f>
        <v/>
      </c>
    </row>
    <row r="26">
      <c r="A26" s="194" t="inlineStr">
        <is>
          <t>B3</t>
        </is>
      </c>
      <c r="B26" s="191" t="inlineStr">
        <is>
          <t xml:space="preserve"> CIP/Shotcrete Walls - Reinforcing</t>
        </is>
      </c>
      <c r="C26" s="193" t="n">
        <v>41250</v>
      </c>
      <c r="D26" s="167" t="n">
        <v>41250</v>
      </c>
      <c r="E26" s="168" t="n"/>
      <c r="F26" s="168" t="n"/>
      <c r="G26" s="169">
        <f>IF(D26+E26+F26=0,"",D26+E26+F26)</f>
        <v/>
      </c>
      <c r="H26" s="43">
        <f>IF(G26=0,"",IF(ISERR(G26/C26),"",G26/C26))</f>
        <v/>
      </c>
      <c r="I26" s="169">
        <f>IF(C26-G26=0,"",C26-G26)</f>
        <v/>
      </c>
      <c r="J26" s="170">
        <f>G26*'702'!$C$27</f>
        <v/>
      </c>
    </row>
    <row r="27">
      <c r="A27" s="194" t="inlineStr">
        <is>
          <t>B3</t>
        </is>
      </c>
      <c r="B27" s="191" t="inlineStr">
        <is>
          <t xml:space="preserve"> CIP/Shotcrete Walls - Form &amp; Pour</t>
        </is>
      </c>
      <c r="C27" s="193" t="n">
        <v>240000</v>
      </c>
      <c r="D27" s="167" t="n">
        <v>240000</v>
      </c>
      <c r="E27" s="168" t="n"/>
      <c r="F27" s="168" t="n"/>
      <c r="G27" s="169">
        <f>IF(D27+E27+F27=0,"",D27+E27+F27)</f>
        <v/>
      </c>
      <c r="H27" s="43">
        <f>IF(G27=0,"",IF(ISERR(G27/C27),"",G27/C27))</f>
        <v/>
      </c>
      <c r="I27" s="169">
        <f>IF(C27-G27=0,"",C27-G27)</f>
        <v/>
      </c>
      <c r="J27" s="170">
        <f>G27*'702'!$C$27</f>
        <v/>
      </c>
    </row>
    <row r="28">
      <c r="A28" s="194" t="inlineStr">
        <is>
          <t>B3</t>
        </is>
      </c>
      <c r="B28" s="195" t="inlineStr">
        <is>
          <t xml:space="preserve"> SOG - Fine Grade - Sand and Vapor Barrier</t>
        </is>
      </c>
      <c r="C28" s="193" t="n">
        <v>50000</v>
      </c>
      <c r="D28" s="167" t="n">
        <v>50000</v>
      </c>
      <c r="E28" s="168" t="n"/>
      <c r="F28" s="168" t="n"/>
      <c r="G28" s="169">
        <f>IF(D28+E28+F28=0,"",D28+E28+F28)</f>
        <v/>
      </c>
      <c r="H28" s="43">
        <f>IF(G28=0,"",IF(ISERR(G28/C28),"",G28/C28))</f>
        <v/>
      </c>
      <c r="I28" s="169">
        <f>IF(C28-G28=0,"",C28-G28)</f>
        <v/>
      </c>
      <c r="J28" s="170">
        <f>G28*'702'!$C$27</f>
        <v/>
      </c>
    </row>
    <row r="29">
      <c r="A29" s="194" t="inlineStr">
        <is>
          <t>B3</t>
        </is>
      </c>
      <c r="B29" s="196" t="inlineStr">
        <is>
          <t xml:space="preserve"> SOG - Reinforcing </t>
        </is>
      </c>
      <c r="C29" s="193" t="n">
        <v>20000</v>
      </c>
      <c r="D29" s="167" t="n">
        <v>20000</v>
      </c>
      <c r="E29" s="168" t="n"/>
      <c r="F29" s="168" t="n"/>
      <c r="G29" s="169">
        <f>IF(D29+E29+F29=0,"",D29+E29+F29)</f>
        <v/>
      </c>
      <c r="H29" s="43">
        <f>IF(G29=0,"",IF(ISERR(G29/C29),"",G29/C29))</f>
        <v/>
      </c>
      <c r="I29" s="169">
        <f>IF(C29-G29=0,"",C29-G29)</f>
        <v/>
      </c>
      <c r="J29" s="170">
        <f>G29*'702'!$C$27</f>
        <v/>
      </c>
    </row>
    <row r="30">
      <c r="A30" s="194" t="inlineStr">
        <is>
          <t>B3</t>
        </is>
      </c>
      <c r="B30" s="196" t="inlineStr">
        <is>
          <t xml:space="preserve"> SOG - Pour &amp; Sawcut</t>
        </is>
      </c>
      <c r="C30" s="193" t="n">
        <v>150000</v>
      </c>
      <c r="D30" s="167" t="n">
        <v>150000</v>
      </c>
      <c r="E30" s="168" t="n"/>
      <c r="F30" s="168" t="n"/>
      <c r="G30" s="169">
        <f>IF(D30+E30+F30=0,"",D30+E30+F30)</f>
        <v/>
      </c>
      <c r="H30" s="43">
        <f>IF(G30=0,"",IF(ISERR(G30/C30),"",G30/C30))</f>
        <v/>
      </c>
      <c r="I30" s="169">
        <f>IF(C30-G30=0,"",C30-G30)</f>
        <v/>
      </c>
      <c r="J30" s="170">
        <f>G30*'702'!$C$27</f>
        <v/>
      </c>
    </row>
    <row r="31">
      <c r="A31" s="197" t="n"/>
      <c r="B31" s="196" t="n"/>
      <c r="C31" s="193" t="n"/>
      <c r="D31" s="167" t="inlineStr"/>
      <c r="E31" s="168" t="n"/>
      <c r="F31" s="168" t="n"/>
      <c r="G31" s="169">
        <f>IF(D31+E31+F31=0,"",D31+E31+F31)</f>
        <v/>
      </c>
      <c r="H31" s="43">
        <f>IF(G31=0,"",IF(ISERR(G31/C31),"",G31/C31))</f>
        <v/>
      </c>
      <c r="I31" s="169">
        <f>IF(C31-G31=0,"",C31-G31)</f>
        <v/>
      </c>
      <c r="J31" s="170">
        <f>G31*'702'!$C$27</f>
        <v/>
      </c>
    </row>
    <row r="32" ht="12" customHeight="1">
      <c r="A32" s="197" t="inlineStr">
        <is>
          <t>B2</t>
        </is>
      </c>
      <c r="B32" s="196" t="inlineStr">
        <is>
          <t xml:space="preserve"> Deck - Forming</t>
        </is>
      </c>
      <c r="C32" s="193" t="n">
        <v>75000</v>
      </c>
      <c r="D32" s="167" t="n">
        <v>75000</v>
      </c>
      <c r="E32" s="168" t="n"/>
      <c r="F32" s="168" t="n"/>
      <c r="G32" s="169">
        <f>IF(D32+E32+F32=0,"",D32+E32+F32)</f>
        <v/>
      </c>
      <c r="H32" s="43">
        <f>IF(G32=0,"",IF(ISERR(G32/C32),"",G32/C32))</f>
        <v/>
      </c>
      <c r="I32" s="169">
        <f>IF(C32-G32=0,"",C32-G32)</f>
        <v/>
      </c>
      <c r="J32" s="170">
        <f>G32*'702'!$C$27</f>
        <v/>
      </c>
    </row>
    <row r="33" ht="14" customHeight="1">
      <c r="A33" s="197" t="inlineStr">
        <is>
          <t>B2</t>
        </is>
      </c>
      <c r="B33" s="196" t="inlineStr">
        <is>
          <t xml:space="preserve"> Deck - Reinforcing</t>
        </is>
      </c>
      <c r="C33" s="193" t="n">
        <v>76000</v>
      </c>
      <c r="D33" s="167" t="n">
        <v>76000</v>
      </c>
      <c r="E33" s="168" t="n"/>
      <c r="F33" s="168" t="n"/>
      <c r="G33" s="169">
        <f>IF(D33+E33+F33=0,"",D33+E33+F33)</f>
        <v/>
      </c>
      <c r="H33" s="43">
        <f>IF(G33=0,"",IF(ISERR(G33/C33),"",G33/C33))</f>
        <v/>
      </c>
      <c r="I33" s="169">
        <f>IF(C33-G33=0,"",C33-G33)</f>
        <v/>
      </c>
      <c r="J33" s="170">
        <f>G33*'702'!$C$27</f>
        <v/>
      </c>
    </row>
    <row r="34" ht="14" customHeight="1">
      <c r="A34" s="197" t="inlineStr">
        <is>
          <t>B2</t>
        </is>
      </c>
      <c r="B34" s="196" t="inlineStr">
        <is>
          <t xml:space="preserve"> Deck - Pour</t>
        </is>
      </c>
      <c r="C34" s="193" t="n">
        <v>175000</v>
      </c>
      <c r="D34" s="167" t="n">
        <v>175000</v>
      </c>
      <c r="E34" s="168" t="n"/>
      <c r="F34" s="168" t="n"/>
      <c r="G34" s="169">
        <f>IF(D34+E34+F34=0,"",D34+E34+F34)</f>
        <v/>
      </c>
      <c r="H34" s="43">
        <f>IF(G34=0,"",IF(ISERR(G34/C34),"",G34/C34))</f>
        <v/>
      </c>
      <c r="I34" s="169">
        <f>IF(C34-G34=0,"",C34-G34)</f>
        <v/>
      </c>
      <c r="J34" s="170">
        <f>G34*'702'!$C$27</f>
        <v/>
      </c>
    </row>
    <row r="35" ht="14" customHeight="1">
      <c r="A35" s="197" t="inlineStr">
        <is>
          <t>B2</t>
        </is>
      </c>
      <c r="B35" s="191" t="inlineStr">
        <is>
          <t xml:space="preserve"> Columns - Reinforcing</t>
        </is>
      </c>
      <c r="C35" s="193" t="n">
        <v>20000</v>
      </c>
      <c r="D35" s="167" t="n">
        <v>20000</v>
      </c>
      <c r="E35" s="168" t="n"/>
      <c r="F35" s="168" t="n"/>
      <c r="G35" s="169">
        <f>IF(D35+E35+F35=0,"",D35+E35+F35)</f>
        <v/>
      </c>
      <c r="H35" s="43">
        <f>IF(G35=0,"",IF(ISERR(G35/C35),"",G35/C35))</f>
        <v/>
      </c>
      <c r="I35" s="169">
        <f>IF(C35-G35=0,"",C35-G35)</f>
        <v/>
      </c>
      <c r="J35" s="170">
        <f>G35*'702'!$C$27</f>
        <v/>
      </c>
    </row>
    <row r="36" ht="14" customHeight="1">
      <c r="A36" s="197" t="inlineStr">
        <is>
          <t>B2</t>
        </is>
      </c>
      <c r="B36" s="191" t="inlineStr">
        <is>
          <t xml:space="preserve"> Columns - Form &amp; Pour</t>
        </is>
      </c>
      <c r="C36" s="193" t="n">
        <v>25000</v>
      </c>
      <c r="D36" s="167" t="n">
        <v>25000</v>
      </c>
      <c r="E36" s="168" t="n"/>
      <c r="F36" s="168" t="n"/>
      <c r="G36" s="169">
        <f>IF(D36+E36+F36=0,"",D36+E36+F36)</f>
        <v/>
      </c>
      <c r="H36" s="43">
        <f>IF(G36=0,"",IF(ISERR(G36/C36),"",G36/C36))</f>
        <v/>
      </c>
      <c r="I36" s="169">
        <f>IF(C36-G36=0,"",C36-G36)</f>
        <v/>
      </c>
      <c r="J36" s="170">
        <f>G36*'702'!$C$27</f>
        <v/>
      </c>
    </row>
    <row r="37" ht="14" customHeight="1">
      <c r="A37" s="197" t="inlineStr">
        <is>
          <t>B2</t>
        </is>
      </c>
      <c r="B37" s="191" t="inlineStr">
        <is>
          <t xml:space="preserve"> CIP/Shotcrete Walls - Reinforcing</t>
        </is>
      </c>
      <c r="C37" s="193" t="n">
        <v>35000</v>
      </c>
      <c r="D37" s="167" t="n">
        <v>35000</v>
      </c>
      <c r="E37" s="168" t="n"/>
      <c r="F37" s="168" t="n"/>
      <c r="G37" s="169">
        <f>IF(D37+E37+F37=0,"",D37+E37+F37)</f>
        <v/>
      </c>
      <c r="H37" s="43">
        <f>IF(G37=0,"",IF(ISERR(G37/C37),"",G37/C37))</f>
        <v/>
      </c>
      <c r="I37" s="169">
        <f>IF(C37-G37=0,"",C37-G37)</f>
        <v/>
      </c>
      <c r="J37" s="170">
        <f>G37*'702'!$C$27</f>
        <v/>
      </c>
    </row>
    <row r="38" ht="14" customHeight="1">
      <c r="A38" s="197" t="inlineStr">
        <is>
          <t>B2</t>
        </is>
      </c>
      <c r="B38" s="191" t="inlineStr">
        <is>
          <t xml:space="preserve"> CIP/Shotcrete Walls - Form &amp; Pour</t>
        </is>
      </c>
      <c r="C38" s="193" t="n">
        <v>225000</v>
      </c>
      <c r="D38" s="167" t="n">
        <v>225000</v>
      </c>
      <c r="E38" s="168" t="n"/>
      <c r="F38" s="168" t="n"/>
      <c r="G38" s="169">
        <f>IF(D38+E38+F38=0,"",D38+E38+F38)</f>
        <v/>
      </c>
      <c r="H38" s="43">
        <f>IF(G38=0,"",IF(ISERR(G38/C38),"",G38/C38))</f>
        <v/>
      </c>
      <c r="I38" s="169">
        <f>IF(C38-G38=0,"",C38-G38)</f>
        <v/>
      </c>
      <c r="J38" s="170">
        <f>G38*'702'!$C$27</f>
        <v/>
      </c>
    </row>
    <row r="39" ht="14" customHeight="1">
      <c r="A39" s="197" t="n"/>
      <c r="B39" s="195" t="n"/>
      <c r="C39" s="193" t="n"/>
      <c r="D39" s="167" t="inlineStr"/>
      <c r="E39" s="168" t="n"/>
      <c r="F39" s="168" t="n"/>
      <c r="G39" s="169">
        <f>IF(D39+E39+F39=0,"",D39+E39+F39)</f>
        <v/>
      </c>
      <c r="H39" s="43">
        <f>IF(G39=0,"",IF(ISERR(G39/C39),"",G39/C39))</f>
        <v/>
      </c>
      <c r="I39" s="169">
        <f>IF(C39-G39=0,"",C39-G39)</f>
        <v/>
      </c>
      <c r="J39" s="170">
        <f>G39*'702'!$C$27</f>
        <v/>
      </c>
    </row>
    <row r="40" ht="14" customHeight="1">
      <c r="A40" s="197" t="inlineStr">
        <is>
          <t>B1</t>
        </is>
      </c>
      <c r="B40" s="196" t="inlineStr">
        <is>
          <t xml:space="preserve"> Deck - Forming</t>
        </is>
      </c>
      <c r="C40" s="193" t="n">
        <v>75000</v>
      </c>
      <c r="D40" s="167" t="n">
        <v>71250</v>
      </c>
      <c r="E40" s="168" t="n"/>
      <c r="F40" s="168" t="n"/>
      <c r="G40" s="169">
        <f>IF(D40+E40+F40=0,"",D40+E40+F40)</f>
        <v/>
      </c>
      <c r="H40" s="43">
        <f>IF(G40=0,"",IF(ISERR(G40/C40),"",G40/C40))</f>
        <v/>
      </c>
      <c r="I40" s="169">
        <f>IF(C40-G40=0,"",C40-G40)</f>
        <v/>
      </c>
      <c r="J40" s="170">
        <f>G40*'702'!$C$27</f>
        <v/>
      </c>
    </row>
    <row r="41" ht="14" customHeight="1">
      <c r="A41" s="197" t="inlineStr">
        <is>
          <t>B1</t>
        </is>
      </c>
      <c r="B41" s="196" t="inlineStr">
        <is>
          <t xml:space="preserve"> Deck - Reinforcing</t>
        </is>
      </c>
      <c r="C41" s="193" t="n">
        <v>76000</v>
      </c>
      <c r="D41" s="167" t="inlineStr"/>
      <c r="E41" s="168" t="n"/>
      <c r="F41" s="168" t="n"/>
      <c r="G41" s="169">
        <f>IF(D41+E41+F41=0,"",D41+E41+F41)</f>
        <v/>
      </c>
      <c r="H41" s="43">
        <f>IF(G41=0,"",IF(ISERR(G41/C41),"",G41/C41))</f>
        <v/>
      </c>
      <c r="I41" s="169">
        <f>IF(C41-G41=0,"",C41-G41)</f>
        <v/>
      </c>
      <c r="J41" s="170">
        <f>G41*'702'!$C$27</f>
        <v/>
      </c>
    </row>
    <row r="42" ht="14" customHeight="1">
      <c r="A42" s="197" t="inlineStr">
        <is>
          <t>B1</t>
        </is>
      </c>
      <c r="B42" s="196" t="inlineStr">
        <is>
          <t xml:space="preserve"> Deck - Pour</t>
        </is>
      </c>
      <c r="C42" s="193" t="n">
        <v>175000</v>
      </c>
      <c r="D42" s="167" t="inlineStr"/>
      <c r="E42" s="168" t="n"/>
      <c r="F42" s="168" t="n"/>
      <c r="G42" s="169">
        <f>IF(D42+E42+F42=0,"",D42+E42+F42)</f>
        <v/>
      </c>
      <c r="H42" s="43">
        <f>IF(G42=0,"",IF(ISERR(G42/C42),"",G42/C42))</f>
        <v/>
      </c>
      <c r="I42" s="169">
        <f>IF(C42-G42=0,"",C42-G42)</f>
        <v/>
      </c>
      <c r="J42" s="170">
        <f>G42*'702'!$C$27</f>
        <v/>
      </c>
    </row>
    <row r="43" ht="14" customHeight="1">
      <c r="A43" s="197" t="inlineStr">
        <is>
          <t>B1</t>
        </is>
      </c>
      <c r="B43" s="191" t="inlineStr">
        <is>
          <t xml:space="preserve"> Columns - Reinforcing</t>
        </is>
      </c>
      <c r="C43" s="193" t="n">
        <v>20000</v>
      </c>
      <c r="D43" s="167" t="inlineStr"/>
      <c r="E43" s="168" t="n"/>
      <c r="F43" s="168" t="n"/>
      <c r="G43" s="169">
        <f>IF(D43+E43+F43=0,"",D43+E43+F43)</f>
        <v/>
      </c>
      <c r="H43" s="43">
        <f>IF(G43=0,"",IF(ISERR(G43/C43),"",G43/C43))</f>
        <v/>
      </c>
      <c r="I43" s="169">
        <f>IF(C43-G43=0,"",C43-G43)</f>
        <v/>
      </c>
      <c r="J43" s="170">
        <f>G43*'702'!$C$27</f>
        <v/>
      </c>
    </row>
    <row r="44" ht="14" customHeight="1">
      <c r="A44" s="197" t="inlineStr">
        <is>
          <t>B1</t>
        </is>
      </c>
      <c r="B44" s="191" t="inlineStr">
        <is>
          <t xml:space="preserve"> Columns - Form &amp; Pour</t>
        </is>
      </c>
      <c r="C44" s="193" t="n">
        <v>25000</v>
      </c>
      <c r="D44" s="167" t="inlineStr"/>
      <c r="E44" s="168" t="n"/>
      <c r="F44" s="168" t="n"/>
      <c r="G44" s="169">
        <f>IF(D44+E44+F44=0,"",D44+E44+F44)</f>
        <v/>
      </c>
      <c r="H44" s="43">
        <f>IF(G44=0,"",IF(ISERR(G44/C44),"",G44/C44))</f>
        <v/>
      </c>
      <c r="I44" s="169">
        <f>IF(C44-G44=0,"",C44-G44)</f>
        <v/>
      </c>
      <c r="J44" s="170">
        <f>G44*'702'!$C$27</f>
        <v/>
      </c>
    </row>
    <row r="45" ht="14" customHeight="1">
      <c r="A45" s="197" t="inlineStr">
        <is>
          <t>B1</t>
        </is>
      </c>
      <c r="B45" s="191" t="inlineStr">
        <is>
          <t xml:space="preserve"> CIP/Shotcrete Walls - Reinforcing</t>
        </is>
      </c>
      <c r="C45" s="193" t="n">
        <v>35000</v>
      </c>
      <c r="D45" s="167" t="inlineStr"/>
      <c r="E45" s="168" t="n"/>
      <c r="F45" s="168" t="n"/>
      <c r="G45" s="169">
        <f>IF(D45+E45+F45=0,"",D45+E45+F45)</f>
        <v/>
      </c>
      <c r="H45" s="43">
        <f>IF(G45=0,"",IF(ISERR(G45/C45),"",G45/C45))</f>
        <v/>
      </c>
      <c r="I45" s="169">
        <f>IF(C45-G45=0,"",C45-G45)</f>
        <v/>
      </c>
      <c r="J45" s="170">
        <f>G45*'702'!$C$27</f>
        <v/>
      </c>
    </row>
    <row r="46" ht="14" customHeight="1">
      <c r="A46" s="197" t="inlineStr">
        <is>
          <t>B1</t>
        </is>
      </c>
      <c r="B46" s="191" t="inlineStr">
        <is>
          <t xml:space="preserve"> CIP/Shotcrete Walls - Form &amp; Pour</t>
        </is>
      </c>
      <c r="C46" s="193" t="n">
        <v>225000</v>
      </c>
      <c r="D46" s="167" t="inlineStr"/>
      <c r="E46" s="168" t="n"/>
      <c r="F46" s="168" t="n"/>
      <c r="G46" s="169">
        <f>IF(D46+E46+F46=0,"",D46+E46+F46)</f>
        <v/>
      </c>
      <c r="H46" s="43">
        <f>IF(G46=0,"",IF(ISERR(G46/C46),"",G46/C46))</f>
        <v/>
      </c>
      <c r="I46" s="169">
        <f>IF(C46-G46=0,"",C46-G46)</f>
        <v/>
      </c>
      <c r="J46" s="170">
        <f>G46*'702'!$C$27</f>
        <v/>
      </c>
    </row>
    <row r="47" ht="14" customHeight="1">
      <c r="A47" s="197" t="n"/>
      <c r="B47" s="195" t="n"/>
      <c r="C47" s="193" t="n"/>
      <c r="D47" s="167" t="inlineStr"/>
      <c r="E47" s="168" t="n"/>
      <c r="F47" s="168" t="n"/>
      <c r="G47" s="169">
        <f>IF(D47+E47+F47=0,"",D47+E47+F47)</f>
        <v/>
      </c>
      <c r="H47" s="43">
        <f>IF(G47=0,"",IF(ISERR(G47/C47),"",G47/C47))</f>
        <v/>
      </c>
      <c r="I47" s="169">
        <f>IF(C47-G47=0,"",C47-G47)</f>
        <v/>
      </c>
      <c r="J47" s="170">
        <f>G47*'702'!$C$27</f>
        <v/>
      </c>
    </row>
    <row r="48" ht="14" customHeight="1">
      <c r="A48" s="197" t="inlineStr">
        <is>
          <t xml:space="preserve">Level 1 </t>
        </is>
      </c>
      <c r="B48" s="196" t="inlineStr">
        <is>
          <t xml:space="preserve"> Deck - Forming</t>
        </is>
      </c>
      <c r="C48" s="193" t="n">
        <v>85000</v>
      </c>
      <c r="D48" s="167" t="inlineStr"/>
      <c r="E48" s="168" t="n"/>
      <c r="F48" s="168" t="n"/>
      <c r="G48" s="169">
        <f>IF(D48+E48+F48=0,"",D48+E48+F48)</f>
        <v/>
      </c>
      <c r="H48" s="43">
        <f>IF(G48=0,"",IF(ISERR(G48/C48),"",G48/C48))</f>
        <v/>
      </c>
      <c r="I48" s="169">
        <f>IF(C48-G48=0,"",C48-G48)</f>
        <v/>
      </c>
      <c r="J48" s="170">
        <f>G48*'702'!$C$27</f>
        <v/>
      </c>
    </row>
    <row r="49" ht="14" customHeight="1">
      <c r="A49" s="197" t="inlineStr">
        <is>
          <t xml:space="preserve">Level 1 </t>
        </is>
      </c>
      <c r="B49" s="196" t="inlineStr">
        <is>
          <t xml:space="preserve"> Deck - Reinforcing</t>
        </is>
      </c>
      <c r="C49" s="193" t="n">
        <v>120000</v>
      </c>
      <c r="D49" s="167" t="inlineStr"/>
      <c r="E49" s="168" t="n"/>
      <c r="F49" s="168" t="n"/>
      <c r="G49" s="169">
        <f>IF(D49+E49+F49=0,"",D49+E49+F49)</f>
        <v/>
      </c>
      <c r="H49" s="43">
        <f>IF(G49=0,"",IF(ISERR(G49/C49),"",G49/C49))</f>
        <v/>
      </c>
      <c r="I49" s="169">
        <f>IF(C49-G49=0,"",C49-G49)</f>
        <v/>
      </c>
      <c r="J49" s="170">
        <f>G49*'702'!$C$27</f>
        <v/>
      </c>
    </row>
    <row r="50" ht="14" customHeight="1">
      <c r="A50" s="197" t="inlineStr">
        <is>
          <t>Level 1</t>
        </is>
      </c>
      <c r="B50" s="196" t="inlineStr">
        <is>
          <t xml:space="preserve"> Deck - Pour</t>
        </is>
      </c>
      <c r="C50" s="193" t="n">
        <v>215000</v>
      </c>
      <c r="D50" s="167" t="inlineStr"/>
      <c r="E50" s="168" t="n"/>
      <c r="F50" s="168" t="n"/>
      <c r="G50" s="169">
        <f>IF(D50+E50+F50=0,"",D50+E50+F50)</f>
        <v/>
      </c>
      <c r="H50" s="43">
        <f>IF(G50=0,"",IF(ISERR(G50/C50),"",G50/C50))</f>
        <v/>
      </c>
      <c r="I50" s="169">
        <f>IF(C50-G50=0,"",C50-G50)</f>
        <v/>
      </c>
      <c r="J50" s="170">
        <f>G50*'702'!$C$27</f>
        <v/>
      </c>
    </row>
    <row r="51" ht="14" customHeight="1">
      <c r="A51" s="197" t="inlineStr">
        <is>
          <t>Level 1</t>
        </is>
      </c>
      <c r="B51" s="191" t="inlineStr">
        <is>
          <t xml:space="preserve"> Columns - Reinforcing</t>
        </is>
      </c>
      <c r="C51" s="193" t="n">
        <v>20000</v>
      </c>
      <c r="D51" s="167" t="inlineStr"/>
      <c r="E51" s="168" t="n"/>
      <c r="F51" s="168" t="n"/>
      <c r="G51" s="169">
        <f>IF(D51+E51+F51=0,"",D51+E51+F51)</f>
        <v/>
      </c>
      <c r="H51" s="43">
        <f>IF(G51=0,"",IF(ISERR(G51/C51),"",G51/C51))</f>
        <v/>
      </c>
      <c r="I51" s="169">
        <f>IF(C51-G51=0,"",C51-G51)</f>
        <v/>
      </c>
      <c r="J51" s="170">
        <f>G51*'702'!$C$27</f>
        <v/>
      </c>
    </row>
    <row r="52" ht="14" customHeight="1">
      <c r="A52" s="197" t="inlineStr">
        <is>
          <t>Level 1</t>
        </is>
      </c>
      <c r="B52" s="191" t="inlineStr">
        <is>
          <t xml:space="preserve"> Columns - Form &amp; Pour</t>
        </is>
      </c>
      <c r="C52" s="193" t="n">
        <v>25000</v>
      </c>
      <c r="D52" s="167" t="inlineStr"/>
      <c r="E52" s="168" t="n"/>
      <c r="F52" s="168" t="n"/>
      <c r="G52" s="169">
        <f>IF(D52+E52+F52=0,"",D52+E52+F52)</f>
        <v/>
      </c>
      <c r="H52" s="43">
        <f>IF(G52=0,"",IF(ISERR(G52/C52),"",G52/C52))</f>
        <v/>
      </c>
      <c r="I52" s="169">
        <f>IF(C52-G52=0,"",C52-G52)</f>
        <v/>
      </c>
      <c r="J52" s="170">
        <f>G52*'702'!$C$27</f>
        <v/>
      </c>
    </row>
    <row r="53" ht="14" customHeight="1">
      <c r="A53" s="197" t="inlineStr">
        <is>
          <t>Level 1</t>
        </is>
      </c>
      <c r="B53" s="191" t="inlineStr">
        <is>
          <t xml:space="preserve"> CIP/Shotcrete Walls - Reinforcing</t>
        </is>
      </c>
      <c r="C53" s="193" t="n">
        <v>35000</v>
      </c>
      <c r="D53" s="167" t="inlineStr"/>
      <c r="E53" s="168" t="n"/>
      <c r="F53" s="168" t="n"/>
      <c r="G53" s="169">
        <f>IF(D53+E53+F53=0,"",D53+E53+F53)</f>
        <v/>
      </c>
      <c r="H53" s="43">
        <f>IF(G53=0,"",IF(ISERR(G53/C53),"",G53/C53))</f>
        <v/>
      </c>
      <c r="I53" s="169">
        <f>IF(C53-G53=0,"",C53-G53)</f>
        <v/>
      </c>
      <c r="J53" s="170">
        <f>G53*'702'!$C$27</f>
        <v/>
      </c>
    </row>
    <row r="54" ht="14" customHeight="1">
      <c r="A54" s="197" t="inlineStr">
        <is>
          <t>Level 1</t>
        </is>
      </c>
      <c r="B54" s="191" t="inlineStr">
        <is>
          <t xml:space="preserve"> CIP/Shotcrete Walls - Form &amp; Pour</t>
        </is>
      </c>
      <c r="C54" s="193" t="n">
        <v>155000</v>
      </c>
      <c r="D54" s="167" t="inlineStr"/>
      <c r="E54" s="168" t="n"/>
      <c r="F54" s="168" t="n"/>
      <c r="G54" s="169">
        <f>IF(D54+E54+F54=0,"",D54+E54+F54)</f>
        <v/>
      </c>
      <c r="H54" s="43">
        <f>IF(G54=0,"",IF(ISERR(G54/C54),"",G54/C54))</f>
        <v/>
      </c>
      <c r="I54" s="169">
        <f>IF(C54-G54=0,"",C54-G54)</f>
        <v/>
      </c>
      <c r="J54" s="170">
        <f>G54*'702'!$C$27</f>
        <v/>
      </c>
    </row>
    <row r="55" ht="14" customHeight="1">
      <c r="A55" s="197" t="n"/>
      <c r="B55" s="195" t="n"/>
      <c r="C55" s="193" t="n"/>
      <c r="D55" s="167" t="inlineStr"/>
      <c r="E55" s="168" t="n"/>
      <c r="F55" s="168" t="n"/>
      <c r="G55" s="169">
        <f>IF(D55+E55+F55=0,"",D55+E55+F55)</f>
        <v/>
      </c>
      <c r="H55" s="43">
        <f>IF(G55=0,"",IF(ISERR(G55/C55),"",G55/C55))</f>
        <v/>
      </c>
      <c r="I55" s="169">
        <f>IF(C55-G55=0,"",C55-G55)</f>
        <v/>
      </c>
      <c r="J55" s="170">
        <f>G55*'702'!$C$27</f>
        <v/>
      </c>
    </row>
    <row r="56" ht="14" customHeight="1">
      <c r="A56" s="197" t="inlineStr">
        <is>
          <t>Level 2</t>
        </is>
      </c>
      <c r="B56" s="196" t="inlineStr">
        <is>
          <t xml:space="preserve"> Deck - Forming</t>
        </is>
      </c>
      <c r="C56" s="193" t="n">
        <v>80000</v>
      </c>
      <c r="D56" s="167" t="inlineStr"/>
      <c r="E56" s="168" t="n"/>
      <c r="F56" s="168" t="n"/>
      <c r="G56" s="169">
        <f>IF(D56+E56+F56=0,"",D56+E56+F56)</f>
        <v/>
      </c>
      <c r="H56" s="43">
        <f>IF(G56=0,"",IF(ISERR(G56/C56),"",G56/C56))</f>
        <v/>
      </c>
      <c r="I56" s="169">
        <f>IF(C56-G56=0,"",C56-G56)</f>
        <v/>
      </c>
      <c r="J56" s="170">
        <f>G56*'702'!$C$27</f>
        <v/>
      </c>
    </row>
    <row r="57" ht="14" customHeight="1">
      <c r="A57" s="197" t="inlineStr">
        <is>
          <t>Level 2</t>
        </is>
      </c>
      <c r="B57" s="196" t="inlineStr">
        <is>
          <t xml:space="preserve"> Deck - Reinforcing</t>
        </is>
      </c>
      <c r="C57" s="193" t="n">
        <v>90000</v>
      </c>
      <c r="D57" s="167" t="inlineStr"/>
      <c r="E57" s="168" t="n"/>
      <c r="F57" s="168" t="n"/>
      <c r="G57" s="169">
        <f>IF(D57+E57+F57=0,"",D57+E57+F57)</f>
        <v/>
      </c>
      <c r="H57" s="43">
        <f>IF(G57=0,"",IF(ISERR(G57/C57),"",G57/C57))</f>
        <v/>
      </c>
      <c r="I57" s="169">
        <f>IF(C57-G57=0,"",C57-G57)</f>
        <v/>
      </c>
      <c r="J57" s="170">
        <f>G57*'702'!$C$27</f>
        <v/>
      </c>
    </row>
    <row r="58" ht="14" customHeight="1">
      <c r="A58" s="197" t="inlineStr">
        <is>
          <t>Level 2</t>
        </is>
      </c>
      <c r="B58" s="196" t="inlineStr">
        <is>
          <t xml:space="preserve"> Deck - Pour</t>
        </is>
      </c>
      <c r="C58" s="193" t="n">
        <v>205000</v>
      </c>
      <c r="D58" s="167" t="inlineStr"/>
      <c r="E58" s="168" t="n"/>
      <c r="F58" s="168" t="n"/>
      <c r="G58" s="169">
        <f>IF(D58+E58+F58=0,"",D58+E58+F58)</f>
        <v/>
      </c>
      <c r="H58" s="43">
        <f>IF(G58=0,"",IF(ISERR(G58/C58),"",G58/C58))</f>
        <v/>
      </c>
      <c r="I58" s="169">
        <f>IF(C58-G58=0,"",C58-G58)</f>
        <v/>
      </c>
      <c r="J58" s="170">
        <f>G58*'702'!$C$27</f>
        <v/>
      </c>
    </row>
    <row r="59" ht="14" customHeight="1">
      <c r="A59" s="197" t="inlineStr">
        <is>
          <t>Level 2</t>
        </is>
      </c>
      <c r="B59" s="191" t="inlineStr">
        <is>
          <t xml:space="preserve"> Columns - Reinforcing</t>
        </is>
      </c>
      <c r="C59" s="193" t="n">
        <v>20000</v>
      </c>
      <c r="D59" s="167" t="inlineStr"/>
      <c r="E59" s="168" t="n"/>
      <c r="F59" s="168" t="n"/>
      <c r="G59" s="169">
        <f>IF(D59+E59+F59=0,"",D59+E59+F59)</f>
        <v/>
      </c>
      <c r="H59" s="43">
        <f>IF(G59=0,"",IF(ISERR(G59/C59),"",G59/C59))</f>
        <v/>
      </c>
      <c r="I59" s="169">
        <f>IF(C59-G59=0,"",C59-G59)</f>
        <v/>
      </c>
      <c r="J59" s="170">
        <f>G59*'702'!$C$27</f>
        <v/>
      </c>
    </row>
    <row r="60" ht="14" customHeight="1">
      <c r="A60" s="197" t="inlineStr">
        <is>
          <t>Level 2</t>
        </is>
      </c>
      <c r="B60" s="191" t="inlineStr">
        <is>
          <t xml:space="preserve"> Columns - Form &amp; Pour</t>
        </is>
      </c>
      <c r="C60" s="193" t="n">
        <v>25000</v>
      </c>
      <c r="D60" s="167" t="inlineStr"/>
      <c r="E60" s="168" t="n"/>
      <c r="F60" s="168" t="n"/>
      <c r="G60" s="169">
        <f>IF(D60+E60+F60=0,"",D60+E60+F60)</f>
        <v/>
      </c>
      <c r="H60" s="43">
        <f>IF(G60=0,"",IF(ISERR(G60/C60),"",G60/C60))</f>
        <v/>
      </c>
      <c r="I60" s="169">
        <f>IF(C60-G60=0,"",C60-G60)</f>
        <v/>
      </c>
      <c r="J60" s="170">
        <f>G60*'702'!$C$27</f>
        <v/>
      </c>
    </row>
    <row r="61" ht="14" customHeight="1">
      <c r="A61" s="197" t="inlineStr">
        <is>
          <t>Level 2</t>
        </is>
      </c>
      <c r="B61" s="191" t="inlineStr">
        <is>
          <t xml:space="preserve"> CIP/Shotcrete Walls - Reinforcing</t>
        </is>
      </c>
      <c r="C61" s="193" t="n">
        <v>35000</v>
      </c>
      <c r="D61" s="167" t="inlineStr"/>
      <c r="E61" s="168" t="n"/>
      <c r="F61" s="168" t="n"/>
      <c r="G61" s="169">
        <f>IF(D61+E61+F61=0,"",D61+E61+F61)</f>
        <v/>
      </c>
      <c r="H61" s="43">
        <f>IF(G61=0,"",IF(ISERR(G61/C61),"",G61/C61))</f>
        <v/>
      </c>
      <c r="I61" s="169">
        <f>IF(C61-G61=0,"",C61-G61)</f>
        <v/>
      </c>
      <c r="J61" s="170">
        <f>G61*'702'!$C$27</f>
        <v/>
      </c>
    </row>
    <row r="62" ht="14" customHeight="1">
      <c r="A62" s="197" t="inlineStr">
        <is>
          <t>Level 2</t>
        </is>
      </c>
      <c r="B62" s="191" t="inlineStr">
        <is>
          <t xml:space="preserve"> CIP/Shotcrete Walls - Form &amp; Pour</t>
        </is>
      </c>
      <c r="C62" s="193" t="n">
        <v>150000</v>
      </c>
      <c r="D62" s="167" t="inlineStr"/>
      <c r="E62" s="168" t="n"/>
      <c r="F62" s="168" t="n"/>
      <c r="G62" s="169">
        <f>IF(D62+E62+F62=0,"",D62+E62+F62)</f>
        <v/>
      </c>
      <c r="H62" s="43">
        <f>IF(G62=0,"",IF(ISERR(G62/C62),"",G62/C62))</f>
        <v/>
      </c>
      <c r="I62" s="169">
        <f>IF(C62-G62=0,"",C62-G62)</f>
        <v/>
      </c>
      <c r="J62" s="170">
        <f>G62*'702'!$C$27</f>
        <v/>
      </c>
    </row>
    <row r="63" ht="14" customHeight="1">
      <c r="A63" s="197" t="n"/>
      <c r="B63" s="195" t="n"/>
      <c r="C63" s="193" t="n"/>
      <c r="D63" s="167" t="inlineStr"/>
      <c r="E63" s="168" t="n"/>
      <c r="F63" s="168" t="n"/>
      <c r="G63" s="169">
        <f>IF(D63+E63+F63=0,"",D63+E63+F63)</f>
        <v/>
      </c>
      <c r="H63" s="43">
        <f>IF(G63=0,"",IF(ISERR(G63/C63),"",G63/C63))</f>
        <v/>
      </c>
      <c r="I63" s="169">
        <f>IF(C63-G63=0,"",C63-G63)</f>
        <v/>
      </c>
      <c r="J63" s="170">
        <f>G63*'702'!$C$27</f>
        <v/>
      </c>
    </row>
    <row r="64" ht="14" customHeight="1">
      <c r="A64" s="197" t="inlineStr">
        <is>
          <t>Level 3</t>
        </is>
      </c>
      <c r="B64" s="196" t="inlineStr">
        <is>
          <t xml:space="preserve"> Deck - Forming</t>
        </is>
      </c>
      <c r="C64" s="193" t="n">
        <v>85000</v>
      </c>
      <c r="D64" s="167" t="inlineStr"/>
      <c r="E64" s="168" t="n"/>
      <c r="F64" s="168" t="n"/>
      <c r="G64" s="169">
        <f>IF(D64+E64+F64=0,"",D64+E64+F64)</f>
        <v/>
      </c>
      <c r="H64" s="43">
        <f>IF(G64=0,"",IF(ISERR(G64/C64),"",G64/C64))</f>
        <v/>
      </c>
      <c r="I64" s="169">
        <f>IF(C64-G64=0,"",C64-G64)</f>
        <v/>
      </c>
      <c r="J64" s="170">
        <f>G64*'702'!$C$27</f>
        <v/>
      </c>
    </row>
    <row r="65" ht="14" customHeight="1">
      <c r="A65" s="197" t="inlineStr">
        <is>
          <t>Level 3</t>
        </is>
      </c>
      <c r="B65" s="196" t="inlineStr">
        <is>
          <t xml:space="preserve"> Deck - Reinforcing</t>
        </is>
      </c>
      <c r="C65" s="193" t="n">
        <v>170000</v>
      </c>
      <c r="D65" s="167" t="inlineStr"/>
      <c r="E65" s="168" t="n"/>
      <c r="F65" s="168" t="n"/>
      <c r="G65" s="169">
        <f>IF(D65+E65+F65=0,"",D65+E65+F65)</f>
        <v/>
      </c>
      <c r="H65" s="43">
        <f>IF(G65=0,"",IF(ISERR(G65/C65),"",G65/C65))</f>
        <v/>
      </c>
      <c r="I65" s="169">
        <f>IF(C65-G65=0,"",C65-G65)</f>
        <v/>
      </c>
      <c r="J65" s="170">
        <f>G65*'702'!$C$27</f>
        <v/>
      </c>
    </row>
    <row r="66" ht="14" customHeight="1">
      <c r="A66" s="197" t="inlineStr">
        <is>
          <t>Level 3</t>
        </is>
      </c>
      <c r="B66" s="196" t="inlineStr">
        <is>
          <t xml:space="preserve"> Deck - Pour</t>
        </is>
      </c>
      <c r="C66" s="193" t="n">
        <v>240000</v>
      </c>
      <c r="D66" s="167" t="inlineStr"/>
      <c r="E66" s="168" t="n"/>
      <c r="F66" s="168" t="n"/>
      <c r="G66" s="169">
        <f>IF(D66+E66+F66=0,"",D66+E66+F66)</f>
        <v/>
      </c>
      <c r="H66" s="43">
        <f>IF(G66=0,"",IF(ISERR(G66/C66),"",G66/C66))</f>
        <v/>
      </c>
      <c r="I66" s="169">
        <f>IF(C66-G66=0,"",C66-G66)</f>
        <v/>
      </c>
      <c r="J66" s="170">
        <f>G66*'702'!$C$27</f>
        <v/>
      </c>
    </row>
    <row r="67" ht="14" customHeight="1">
      <c r="A67" s="190" t="n"/>
      <c r="B67" s="198" t="n"/>
      <c r="C67" s="193" t="n"/>
      <c r="D67" s="167" t="inlineStr"/>
      <c r="E67" s="168" t="n"/>
      <c r="F67" s="168" t="n"/>
      <c r="G67" s="169">
        <f>IF(D67+E67+F67=0,"",D67+E67+F67)</f>
        <v/>
      </c>
      <c r="H67" s="43">
        <f>IF(G67=0,"",IF(ISERR(G67/C67),"",G67/C67))</f>
        <v/>
      </c>
      <c r="I67" s="169">
        <f>IF(C67-G67=0,"",C67-G67)</f>
        <v/>
      </c>
      <c r="J67" s="170">
        <f>G67*'702'!$C$27</f>
        <v/>
      </c>
    </row>
    <row r="68" ht="14" customHeight="1">
      <c r="A68" s="190" t="n"/>
      <c r="B68" s="199" t="inlineStr">
        <is>
          <t xml:space="preserve"> Overpours </t>
        </is>
      </c>
      <c r="C68" s="193" t="n">
        <v>30000</v>
      </c>
      <c r="D68" s="167" t="inlineStr"/>
      <c r="E68" s="168" t="n"/>
      <c r="F68" s="168" t="n"/>
      <c r="G68" s="169">
        <f>IF(D68+E68+F68=0,"",D68+E68+F68)</f>
        <v/>
      </c>
      <c r="H68" s="43">
        <f>IF(G68=0,"",IF(ISERR(G68/C68),"",G68/C68))</f>
        <v/>
      </c>
      <c r="I68" s="169">
        <f>IF(C68-G68=0,"",C68-G68)</f>
        <v/>
      </c>
      <c r="J68" s="170">
        <f>G68*'702'!$C$27</f>
        <v/>
      </c>
    </row>
    <row r="69" ht="14" customHeight="1">
      <c r="A69" s="190" t="n"/>
      <c r="B69" s="199" t="inlineStr">
        <is>
          <t xml:space="preserve"> Clean Up &amp; Punch out</t>
        </is>
      </c>
      <c r="C69" s="193" t="n">
        <v>80000</v>
      </c>
      <c r="D69" s="167" t="inlineStr"/>
      <c r="E69" s="168" t="n"/>
      <c r="F69" s="168" t="n"/>
      <c r="G69" s="169">
        <f>IF(D69+E69+F69=0,"",D69+E69+F69)</f>
        <v/>
      </c>
      <c r="H69" s="43">
        <f>IF(G69=0,"",IF(ISERR(G69/C69),"",G69/C69))</f>
        <v/>
      </c>
      <c r="I69" s="169">
        <f>IF(C69-G69=0,"",C69-G69)</f>
        <v/>
      </c>
      <c r="J69" s="170">
        <f>G69*'702'!$C$27</f>
        <v/>
      </c>
    </row>
    <row r="70" ht="14" customHeight="1">
      <c r="A70" s="190" t="n"/>
      <c r="B70" s="199" t="inlineStr">
        <is>
          <t xml:space="preserve"> Cable Railings</t>
        </is>
      </c>
      <c r="C70" s="193" t="n">
        <v>52500</v>
      </c>
      <c r="D70" s="167" t="n">
        <v>5000</v>
      </c>
      <c r="E70" s="168" t="n"/>
      <c r="F70" s="168" t="n"/>
      <c r="G70" s="169">
        <f>IF(D70+E70+F70=0,"",D70+E70+F70)</f>
        <v/>
      </c>
      <c r="H70" s="43">
        <f>IF(G70=0,"",IF(ISERR(G70/C70),"",G70/C70))</f>
        <v/>
      </c>
      <c r="I70" s="169">
        <f>IF(C70-G70=0,"",C70-G70)</f>
        <v/>
      </c>
      <c r="J70" s="170">
        <f>G70*'702'!$C$27</f>
        <v/>
      </c>
    </row>
    <row r="71" ht="14" customHeight="1">
      <c r="A71" s="190" t="n"/>
      <c r="B71" s="200" t="n"/>
      <c r="C71" s="193" t="n"/>
      <c r="D71" s="167" t="n"/>
      <c r="E71" s="168" t="n"/>
      <c r="F71" s="168" t="n"/>
      <c r="G71" s="169">
        <f>IF(D71+E71+F71=0,"",D71+E71+F71)</f>
        <v/>
      </c>
      <c r="H71" s="43">
        <f>IF(G71=0,"",IF(ISERR(G71/C71),"",G71/C71))</f>
        <v/>
      </c>
      <c r="I71" s="169">
        <f>IF(C71-G71=0,"",C71-G71)</f>
        <v/>
      </c>
      <c r="J71" s="170">
        <f>G71*'702'!$C$27</f>
        <v/>
      </c>
    </row>
    <row r="72" ht="14" customHeight="1">
      <c r="A72" s="190" t="n"/>
      <c r="B72" s="200" t="n"/>
      <c r="C72" s="193" t="n"/>
      <c r="D72" s="167" t="n"/>
      <c r="E72" s="168" t="n"/>
      <c r="F72" s="168" t="n"/>
      <c r="G72" s="169">
        <f>IF(D72+E72+F72=0,"",D72+E72+F72)</f>
        <v/>
      </c>
      <c r="H72" s="43">
        <f>IF(G72=0,"",IF(ISERR(G72/C72),"",G72/C72))</f>
        <v/>
      </c>
      <c r="I72" s="169">
        <f>IF(C72-G72=0,"",C72-G72)</f>
        <v/>
      </c>
      <c r="J72" s="170">
        <f>G72*'702'!$C$27</f>
        <v/>
      </c>
    </row>
    <row r="73" ht="14" customHeight="1">
      <c r="A73" s="171" t="inlineStr">
        <is>
          <t>Change Orders</t>
        </is>
      </c>
      <c r="B73" s="172" t="n"/>
      <c r="C73" s="172" t="n"/>
      <c r="D73" s="172" t="n"/>
      <c r="E73" s="172" t="n"/>
      <c r="F73" s="172" t="n"/>
      <c r="G73" s="172" t="n"/>
      <c r="H73" s="172" t="n"/>
      <c r="I73" s="172" t="n"/>
      <c r="J73" s="173" t="n"/>
    </row>
    <row r="74" ht="14" customHeight="1">
      <c r="A74" s="190" t="n"/>
      <c r="B74" s="200" t="n"/>
      <c r="C74" s="193" t="n"/>
      <c r="D74" s="167" t="inlineStr"/>
      <c r="E74" s="168" t="n"/>
      <c r="F74" s="168" t="n"/>
      <c r="G74" s="169">
        <f>IF(D74+E74+F74=0,"",D74+E74+F74)</f>
        <v/>
      </c>
      <c r="H74" s="43">
        <f>IF(G74=0,"",IF(ISERR(G74/C74),"",G74/C74))</f>
        <v/>
      </c>
      <c r="I74" s="169">
        <f>IF(C74-G74=0,"",C74-G74)</f>
        <v/>
      </c>
      <c r="J74" s="170">
        <f>G74*0.05</f>
        <v/>
      </c>
    </row>
    <row r="75" ht="14" customHeight="1">
      <c r="A75" s="190" t="n"/>
      <c r="B75" s="191" t="inlineStr">
        <is>
          <t xml:space="preserve"> Bond Fee</t>
        </is>
      </c>
      <c r="C75" s="192" t="n">
        <v>37534</v>
      </c>
      <c r="D75" s="167" t="n">
        <v>37534</v>
      </c>
      <c r="E75" s="168" t="n"/>
      <c r="F75" s="168" t="n"/>
      <c r="G75" s="169">
        <f>IF(D75+E75+F75=0,"",D75+E75+F75)</f>
        <v/>
      </c>
      <c r="H75" s="43">
        <f>IF(G75=0,"",IF(ISERR(G75/C75),"",G75/C75))</f>
        <v/>
      </c>
      <c r="I75" s="169">
        <f>IF(C75-G75=0,"",C75-G75)</f>
        <v/>
      </c>
      <c r="J75" s="170" t="n">
        <v>0</v>
      </c>
    </row>
    <row r="76" ht="14" customHeight="1">
      <c r="A76" s="190" t="n"/>
      <c r="B76" s="200" t="inlineStr">
        <is>
          <t xml:space="preserve">SCO #01 </t>
        </is>
      </c>
      <c r="C76" s="193" t="n">
        <v>43079.89</v>
      </c>
      <c r="D76" s="167" t="n">
        <v>43079.89</v>
      </c>
      <c r="E76" s="168" t="n"/>
      <c r="F76" s="168" t="n"/>
      <c r="G76" s="169">
        <f>IF(D76+E76+F76=0,"",D76+E76+F76)</f>
        <v/>
      </c>
      <c r="H76" s="43">
        <f>IF(G76=0,"",IF(ISERR(G76/C76),"",G76/C76))</f>
        <v/>
      </c>
      <c r="I76" s="169">
        <f>IF(C76-G76=0,"",C76-G76)</f>
        <v/>
      </c>
      <c r="J76" s="170">
        <f>G76*0.1</f>
        <v/>
      </c>
    </row>
    <row r="77" ht="12.75" customHeight="1" thickBot="1">
      <c r="A77" s="14" t="n"/>
      <c r="B77" s="14" t="n"/>
      <c r="C77" s="175" t="n"/>
      <c r="D77" s="176" t="n"/>
      <c r="E77" s="176" t="n"/>
      <c r="F77" s="176" t="n"/>
      <c r="G77" s="177" t="n"/>
      <c r="H77" s="177" t="n"/>
      <c r="I77" s="169">
        <f>IF(C77-G77=0,"",C77-G77)</f>
        <v/>
      </c>
      <c r="J77" s="178" t="n"/>
    </row>
    <row r="78" ht="25.5" customHeight="1" thickBot="1">
      <c r="A78" s="35" t="n"/>
      <c r="B78" s="36" t="inlineStr">
        <is>
          <t>GRAND TOTALS</t>
        </is>
      </c>
      <c r="C78" s="179">
        <f>IF(SUM(C13:C77)=0,"",SUM(C13:C77))</f>
        <v/>
      </c>
      <c r="D78" s="180">
        <f>SUM(D13:D76)</f>
        <v/>
      </c>
      <c r="E78" s="180">
        <f>IF(SUM(E13:E77)=0,"",SUM(E13:E77))</f>
        <v/>
      </c>
      <c r="F78" s="180">
        <f>IF(SUM(F13:F77)=0,"",SUM(F13:F77))</f>
        <v/>
      </c>
      <c r="G78" s="180">
        <f>IF(SUM(G13:G77)=0,"",SUM(G13:G77))</f>
        <v/>
      </c>
      <c r="H78" s="38">
        <f>IF(G78=0,"",IF(ISERR(G78/C78),"",G78/C78))</f>
        <v/>
      </c>
      <c r="I78" s="180">
        <f>IF(C78-G78=0,"",C78-G78)</f>
        <v/>
      </c>
      <c r="J78" s="181">
        <f>SUM(J13:J76)</f>
        <v/>
      </c>
    </row>
    <row r="79">
      <c r="A79" s="2" t="n"/>
      <c r="B79" s="60" t="n"/>
      <c r="C79" s="182" t="n"/>
      <c r="D79" s="60" t="n"/>
      <c r="E79" s="2" t="n"/>
      <c r="F79" s="57" t="n"/>
      <c r="H79" s="62" t="n"/>
      <c r="J79" s="3" t="n"/>
    </row>
    <row r="80">
      <c r="C80" s="183" t="n"/>
      <c r="D80" s="63" t="n"/>
      <c r="E80" s="63" t="n"/>
    </row>
    <row r="81">
      <c r="C81" s="183" t="n"/>
      <c r="D81" s="63" t="n"/>
      <c r="E81" s="63" t="n"/>
    </row>
    <row r="82">
      <c r="C82" s="183" t="n"/>
      <c r="D82" s="63" t="n"/>
      <c r="E82" s="63" t="n"/>
    </row>
    <row r="83">
      <c r="C83" s="183" t="n"/>
      <c r="D83" s="63" t="n"/>
      <c r="E83" s="63" t="n"/>
    </row>
    <row r="84">
      <c r="A84" s="183" t="n"/>
      <c r="C84" s="183" t="n"/>
      <c r="D84" s="63" t="n"/>
      <c r="E84" s="63" t="n"/>
    </row>
    <row r="85">
      <c r="A85" s="77" t="n"/>
      <c r="C85" s="183" t="n"/>
      <c r="D85" s="63" t="n"/>
      <c r="E85" s="63" t="n"/>
    </row>
    <row r="86">
      <c r="C86" s="183" t="n"/>
      <c r="D86" s="63" t="n"/>
      <c r="E86" s="63" t="n"/>
    </row>
    <row r="87">
      <c r="C87" s="183" t="n"/>
      <c r="D87" s="63" t="n"/>
      <c r="E87" s="63" t="n"/>
    </row>
    <row r="88">
      <c r="C88" s="183" t="n"/>
      <c r="D88" s="63" t="n"/>
      <c r="E88" s="63" t="n"/>
    </row>
  </sheetData>
  <sheetProtection selectLockedCells="0" selectUnlockedCells="0" sheet="1" objects="0" insertRows="0" insertHyperlinks="1" autoFilter="0" scenarios="0" formatColumns="0" deleteColumns="0" insertColumns="0" pivotTables="0" deleteRows="0" formatCells="0" formatRows="0" sort="0"/>
  <mergeCells count="11">
    <mergeCell ref="H8:H12"/>
    <mergeCell ref="D8:E9"/>
    <mergeCell ref="A14:J14"/>
    <mergeCell ref="B8:B12"/>
    <mergeCell ref="A8:A12"/>
    <mergeCell ref="E10:E12"/>
    <mergeCell ref="C8:C12"/>
    <mergeCell ref="I8:I12"/>
    <mergeCell ref="J8:J12"/>
    <mergeCell ref="A73:J73"/>
    <mergeCell ref="D10:D12"/>
  </mergeCells>
  <printOptions horizontalCentered="1" verticalCentered="1" gridLines="1"/>
  <pageMargins left="0" right="0" top="0" bottom="0" header="0.5" footer="0.58"/>
  <pageSetup orientation="landscape" scale="62" horizontalDpi="4294967292" verticalDpi="4294967292"/>
</worksheet>
</file>

<file path=xl/worksheets/sheet3.xml><?xml version="1.0" encoding="utf-8"?>
<worksheet xmlns="http://schemas.openxmlformats.org/spreadsheetml/2006/main">
  <sheetPr>
    <outlinePr summaryBelow="1" summaryRight="1"/>
    <pageSetUpPr fitToPage="1"/>
  </sheetPr>
  <dimension ref="A1:G25"/>
  <sheetViews>
    <sheetView topLeftCell="A3" zoomScaleNormal="100" zoomScaleSheetLayoutView="140" workbookViewId="0">
      <selection activeCell="M29" sqref="M29"/>
    </sheetView>
  </sheetViews>
  <sheetFormatPr baseColWidth="10" defaultColWidth="7.5" defaultRowHeight="13"/>
  <cols>
    <col width="9.5" customWidth="1" style="78" min="1" max="1"/>
    <col width="11.1640625" customWidth="1" style="78" min="2" max="2"/>
    <col width="3.1640625" customWidth="1" style="78" min="3" max="3"/>
    <col width="8.1640625" customWidth="1" style="78" min="4" max="4"/>
    <col width="8.83203125" customWidth="1" style="78" min="5" max="5"/>
    <col width="9.6640625" customWidth="1" style="78" min="6" max="6"/>
    <col width="47.1640625" customWidth="1" style="78" min="7" max="7"/>
    <col width="7.5" customWidth="1" style="78" min="8" max="16384"/>
  </cols>
  <sheetData>
    <row r="1" ht="26.5" customHeight="1">
      <c r="A1" s="133" t="inlineStr">
        <is>
          <t>CONDITIONAL WAIVER AND RELEASE ON PROGRESS PAYMENT</t>
        </is>
      </c>
    </row>
    <row r="2" ht="93.5" customHeight="1" thickBot="1">
      <c r="A2" s="133" t="inlineStr">
        <is>
          <t>NOTICE: THIS DOCUMENT WAIVES THE CLAIMANT'S LIEN, STOP PAYMENT NOTICE, AND PAYMENT BOND RIGHTS EFFECTIVE ON RECEIPT OF PAYMENT. A PERSON SHOULD NOT RELY ON THIS DOCUMENT UNLESS SATISFIED THAT THE CLAIMANT HAS RECEIVED PAYMENT.</t>
        </is>
      </c>
    </row>
    <row r="3" ht="21" customHeight="1" thickTop="1">
      <c r="A3" s="134" t="inlineStr">
        <is>
          <t>Identifying Information</t>
        </is>
      </c>
      <c r="B3" s="184" t="n"/>
      <c r="C3" s="184" t="n"/>
      <c r="D3" s="184" t="n"/>
      <c r="E3" s="184" t="n"/>
      <c r="F3" s="184" t="n"/>
      <c r="G3" s="184" t="n"/>
    </row>
    <row r="4" ht="21" customHeight="1">
      <c r="A4" s="127" t="inlineStr">
        <is>
          <t>Name of Claimant:</t>
        </is>
      </c>
      <c r="B4" s="172" t="n"/>
      <c r="C4" s="172" t="n"/>
      <c r="D4" s="125">
        <f>'Prelim Sheet'!F19</f>
        <v/>
      </c>
      <c r="E4" s="172" t="n"/>
      <c r="F4" s="172" t="n"/>
      <c r="G4" s="172" t="n"/>
    </row>
    <row r="5" ht="21" customHeight="1">
      <c r="A5" s="127" t="inlineStr">
        <is>
          <t>Name of Customer:</t>
        </is>
      </c>
      <c r="B5" s="172" t="n"/>
      <c r="C5" s="172" t="n"/>
      <c r="D5" s="125">
        <f>'Prelim Sheet'!F14</f>
        <v/>
      </c>
      <c r="E5" s="172" t="n"/>
      <c r="F5" s="172" t="n"/>
      <c r="G5" s="172" t="n"/>
    </row>
    <row r="6" ht="21" customHeight="1">
      <c r="A6" s="127" t="inlineStr">
        <is>
          <t>Job Location:</t>
        </is>
      </c>
      <c r="B6" s="172" t="n"/>
      <c r="C6" s="129">
        <f>'Prelim Sheet'!F30&amp;'Prelim Sheet'!F31</f>
        <v/>
      </c>
      <c r="D6" s="172" t="n"/>
      <c r="E6" s="172" t="n"/>
      <c r="F6" s="172" t="n"/>
      <c r="G6" s="172" t="n"/>
    </row>
    <row r="7" ht="21" customHeight="1">
      <c r="A7" s="127" t="inlineStr">
        <is>
          <t>Owner:</t>
        </is>
      </c>
      <c r="B7" s="129">
        <f>'Prelim Sheet'!F9</f>
        <v/>
      </c>
      <c r="C7" s="172" t="n"/>
      <c r="D7" s="172" t="n"/>
      <c r="E7" s="172" t="n"/>
      <c r="F7" s="172" t="n"/>
      <c r="G7" s="172" t="n"/>
    </row>
    <row r="8" ht="21" customHeight="1">
      <c r="A8" s="127" t="inlineStr">
        <is>
          <t>Through Date:</t>
        </is>
      </c>
      <c r="B8" s="172" t="n"/>
      <c r="C8" s="130">
        <f>'G703'!I5</f>
        <v/>
      </c>
      <c r="D8" s="172" t="n"/>
      <c r="E8" s="172" t="n"/>
      <c r="F8" s="172" t="n"/>
      <c r="G8" s="172" t="n"/>
    </row>
    <row r="9" ht="21" customHeight="1" thickBot="1">
      <c r="A9" s="131" t="n"/>
      <c r="B9" s="185" t="n"/>
      <c r="C9" s="185" t="n"/>
      <c r="D9" s="185" t="n"/>
      <c r="E9" s="185" t="n"/>
      <c r="F9" s="185" t="n"/>
      <c r="G9" s="185" t="n"/>
    </row>
    <row r="10" ht="24.25" customHeight="1" thickTop="1">
      <c r="A10" s="132" t="inlineStr">
        <is>
          <t>Conditional Waiver and Release</t>
        </is>
      </c>
      <c r="B10" s="186" t="n"/>
      <c r="C10" s="186" t="n"/>
      <c r="D10" s="186" t="n"/>
      <c r="E10" s="186" t="n"/>
      <c r="F10" s="186" t="n"/>
      <c r="G10" s="186" t="n"/>
    </row>
    <row r="11" ht="126" customHeight="1">
      <c r="A11" s="124" t="inlineStr">
        <is>
          <t>This document waives and releases lien, stop payment notice, and payment bond rights the claimant has for labor and service provided, and equipment and material delivered, to the customer on this job through the Through Date of this document. Rights based upon labor or service provided, or equipment or material delivered, pursuant to a written change order that has been fully executed by the parties prior to the date that this document is signed by the claimant, are waived and released by this document, unless listed as an Exception below. This document is effective only on the claimant's receipt of payment from the financial institution on which the following check is drawn:</t>
        </is>
      </c>
    </row>
    <row r="12" ht="21" customHeight="1">
      <c r="A12" s="128" t="inlineStr">
        <is>
          <t>Maker of Check:</t>
        </is>
      </c>
      <c r="B12" s="172" t="n"/>
      <c r="C12" s="125">
        <f>D5</f>
        <v/>
      </c>
      <c r="D12" s="172" t="n"/>
      <c r="E12" s="172" t="n"/>
      <c r="F12" s="172" t="n"/>
      <c r="G12" s="172" t="n"/>
    </row>
    <row r="13" ht="21" customHeight="1">
      <c r="A13" s="127" t="inlineStr">
        <is>
          <t>Amount of Check:</t>
        </is>
      </c>
      <c r="B13" s="172" t="n"/>
      <c r="C13" s="172" t="n"/>
      <c r="D13" s="187">
        <f>'702'!G30</f>
        <v/>
      </c>
      <c r="E13" s="172" t="n"/>
      <c r="F13" s="172" t="n"/>
      <c r="G13" s="172" t="n"/>
    </row>
    <row r="14" ht="21" customHeight="1">
      <c r="A14" s="140" t="inlineStr">
        <is>
          <t>Check Payable to:</t>
        </is>
      </c>
      <c r="B14" s="172" t="n"/>
      <c r="C14" s="172" t="n"/>
      <c r="D14" s="125">
        <f>D4</f>
        <v/>
      </c>
      <c r="E14" s="172" t="n"/>
      <c r="F14" s="172" t="n"/>
      <c r="G14" s="172" t="n"/>
    </row>
    <row r="15" ht="21" customHeight="1" thickBot="1">
      <c r="A15" s="136" t="n"/>
      <c r="B15" s="188" t="n"/>
      <c r="C15" s="188" t="n"/>
      <c r="D15" s="188" t="n"/>
      <c r="E15" s="188" t="n"/>
      <c r="F15" s="188" t="n"/>
      <c r="G15" s="188" t="n"/>
    </row>
    <row r="16" ht="21" customHeight="1" thickTop="1">
      <c r="A16" s="138" t="inlineStr">
        <is>
          <t>Exceptions</t>
        </is>
      </c>
      <c r="B16" s="186" t="n"/>
      <c r="C16" s="186" t="n"/>
      <c r="D16" s="186" t="n"/>
      <c r="E16" s="186" t="n"/>
      <c r="F16" s="186" t="n"/>
      <c r="G16" s="186" t="n"/>
    </row>
    <row r="17" ht="79.75" customHeight="1">
      <c r="A17" s="124" t="inlineStr">
        <is>
          <t xml:space="preserve">This document does not affect any of the following:
(1) Retentions.
(2) Extras for which the claimant has not received payment.
(3) The following progress payments for which the claimant has previously given a conditional waiver and release but has not received payment:
</t>
        </is>
      </c>
    </row>
    <row r="18" ht="16" customHeight="1">
      <c r="A18" s="80" t="n"/>
      <c r="B18" s="137" t="inlineStr">
        <is>
          <t>Date(s) of waiver and release:</t>
        </is>
      </c>
      <c r="F18" s="139" t="n"/>
    </row>
    <row r="19" ht="16" customHeight="1">
      <c r="A19" s="80" t="n"/>
      <c r="B19" s="137" t="inlineStr">
        <is>
          <t xml:space="preserve">Amount(s) of unpaid progress payment(s): </t>
        </is>
      </c>
      <c r="G19" s="82" t="n"/>
    </row>
    <row r="20" ht="35" customHeight="1">
      <c r="A20" s="135" t="inlineStr">
        <is>
          <t>(4) Contract rights, including (A) a right based on rescission, abandonment, or breach of
contract, and (B) the right to recover compensation for work not compensated by the payment.</t>
        </is>
      </c>
      <c r="B20" s="189" t="n"/>
      <c r="C20" s="189" t="n"/>
      <c r="D20" s="189" t="n"/>
      <c r="E20" s="189" t="n"/>
      <c r="F20" s="189" t="n"/>
      <c r="G20" s="189" t="n"/>
    </row>
    <row r="21" ht="21" customHeight="1" thickBot="1">
      <c r="A21" s="136" t="n"/>
      <c r="B21" s="188" t="n"/>
      <c r="C21" s="188" t="n"/>
      <c r="D21" s="188" t="n"/>
      <c r="E21" s="188" t="n"/>
      <c r="F21" s="188" t="n"/>
      <c r="G21" s="188" t="n"/>
    </row>
    <row r="22" ht="21" customHeight="1" thickTop="1">
      <c r="A22" s="138" t="inlineStr">
        <is>
          <t>Signature</t>
        </is>
      </c>
      <c r="B22" s="186" t="n"/>
      <c r="C22" s="186" t="n"/>
      <c r="D22" s="186" t="n"/>
      <c r="E22" s="186" t="n"/>
      <c r="F22" s="186" t="n"/>
      <c r="G22" s="186" t="n"/>
    </row>
    <row r="23" ht="21" customHeight="1">
      <c r="A23" s="127" t="inlineStr">
        <is>
          <t>Claimant's Signature:</t>
        </is>
      </c>
      <c r="B23" s="172" t="n"/>
      <c r="C23" s="172" t="n"/>
      <c r="D23" s="172" t="n"/>
      <c r="E23" s="142" t="n"/>
      <c r="F23" s="172" t="n"/>
      <c r="G23" s="172" t="n"/>
    </row>
    <row r="24" ht="21" customHeight="1">
      <c r="A24" s="127" t="inlineStr">
        <is>
          <t xml:space="preserve">Claimant's Title: </t>
        </is>
      </c>
      <c r="B24" s="172" t="n"/>
      <c r="C24" s="172" t="n"/>
      <c r="D24" s="125" t="inlineStr">
        <is>
          <t>Project Executive</t>
        </is>
      </c>
      <c r="E24" s="172" t="n"/>
      <c r="F24" s="172" t="n"/>
      <c r="G24" s="172" t="n"/>
    </row>
    <row r="25" ht="21" customHeight="1">
      <c r="A25" s="140" t="inlineStr">
        <is>
          <t>Date of Signature:</t>
        </is>
      </c>
      <c r="B25" s="172" t="n"/>
      <c r="C25" s="172" t="n"/>
      <c r="D25" s="141">
        <f>'G703'!I4</f>
        <v/>
      </c>
      <c r="E25" s="172" t="n"/>
      <c r="F25" s="172" t="n"/>
      <c r="G25" s="172" t="n"/>
    </row>
  </sheetData>
  <mergeCells count="36">
    <mergeCell ref="A25:C25"/>
    <mergeCell ref="A23:D23"/>
    <mergeCell ref="A17:G17"/>
    <mergeCell ref="C6:G6"/>
    <mergeCell ref="D25:G25"/>
    <mergeCell ref="A22:G22"/>
    <mergeCell ref="D24:G24"/>
    <mergeCell ref="A20:G20"/>
    <mergeCell ref="D5:G5"/>
    <mergeCell ref="A6:B6"/>
    <mergeCell ref="A10:G10"/>
    <mergeCell ref="D14:G14"/>
    <mergeCell ref="A9:G9"/>
    <mergeCell ref="A5:C5"/>
    <mergeCell ref="A14:C14"/>
    <mergeCell ref="F18:G18"/>
    <mergeCell ref="A15:G15"/>
    <mergeCell ref="A4:C4"/>
    <mergeCell ref="A11:G11"/>
    <mergeCell ref="A12:B12"/>
    <mergeCell ref="B18:E18"/>
    <mergeCell ref="A13:C13"/>
    <mergeCell ref="A1:G1"/>
    <mergeCell ref="C12:G12"/>
    <mergeCell ref="B19:F19"/>
    <mergeCell ref="A16:G16"/>
    <mergeCell ref="D13:G13"/>
    <mergeCell ref="A8:B8"/>
    <mergeCell ref="C8:G8"/>
    <mergeCell ref="A24:C24"/>
    <mergeCell ref="B7:G7"/>
    <mergeCell ref="A3:G3"/>
    <mergeCell ref="E23:G23"/>
    <mergeCell ref="A21:G21"/>
    <mergeCell ref="A2:G2"/>
    <mergeCell ref="D4:G4"/>
  </mergeCells>
  <pageMargins left="1" right="1" top="1" bottom="1" header="0.3" footer="0.3"/>
  <pageSetup orientation="portrait" scale="86" fitToHeight="0" horizontalDpi="1200" verticalDpi="12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G21"/>
  <sheetViews>
    <sheetView topLeftCell="A3" zoomScaleNormal="100" zoomScaleSheetLayoutView="170" workbookViewId="0">
      <selection activeCell="D21" sqref="D21:G21"/>
    </sheetView>
  </sheetViews>
  <sheetFormatPr baseColWidth="10" defaultColWidth="7.5" defaultRowHeight="13"/>
  <cols>
    <col width="10.6640625" customWidth="1" style="78" min="1" max="1"/>
    <col width="9.5" customWidth="1" style="78" min="2" max="2"/>
    <col width="4.33203125" customWidth="1" style="78" min="3" max="3"/>
    <col width="8.1640625" customWidth="1" style="78" min="4" max="4"/>
    <col width="8.83203125" customWidth="1" style="78" min="5" max="5"/>
    <col width="9.6640625" customWidth="1" style="78" min="6" max="6"/>
    <col width="47.1640625" customWidth="1" style="78" min="7" max="7"/>
    <col width="7.5" customWidth="1" style="78" min="8" max="16384"/>
  </cols>
  <sheetData>
    <row r="1" ht="33.25" customHeight="1">
      <c r="A1" s="143" t="inlineStr">
        <is>
          <t>UNCONDITIONAL WAIVER AND RELEASE ON PROGRESS PAYMENT</t>
        </is>
      </c>
    </row>
    <row r="2" ht="122.75" customHeight="1" thickBot="1">
      <c r="A2" s="144" t="inlineStr">
        <is>
          <t>NOTICE TO CLAIMANT: THIS DOCUMENT WAIVES AND RELEASES LIEN, STOP PAYMENT NOTICE, AND PAYMENT BOND RIGHTS UNCONDITIONALLY AND STATES THAT YOU HAVE BEEN PAID FOR GIVING UP THOSE RIGHTS. THIS DOCUMENT IS ENFORCEABLE AGAINST YOU IF YOU SIGN IT, EVEN IF YOU HAVE NOT BEEN PAID. IF YOU HAVE NOT BEEN PAID, USE A CONDITIONAL WAIVER AND RELEASE FORM.</t>
        </is>
      </c>
    </row>
    <row r="3" ht="21" customHeight="1" thickTop="1">
      <c r="A3" s="134" t="inlineStr">
        <is>
          <t>Identifying Information</t>
        </is>
      </c>
      <c r="B3" s="184" t="n"/>
      <c r="C3" s="184" t="n"/>
      <c r="D3" s="184" t="n"/>
      <c r="E3" s="184" t="n"/>
      <c r="F3" s="184" t="n"/>
      <c r="G3" s="184" t="n"/>
    </row>
    <row r="4" ht="21" customHeight="1">
      <c r="A4" s="127" t="inlineStr">
        <is>
          <t>Name of Claimant:</t>
        </is>
      </c>
      <c r="B4" s="172" t="n"/>
      <c r="C4" s="172" t="n"/>
      <c r="D4" s="125">
        <f>CP!D4</f>
        <v/>
      </c>
      <c r="E4" s="172" t="n"/>
      <c r="F4" s="172" t="n"/>
      <c r="G4" s="172" t="n"/>
    </row>
    <row r="5" ht="21" customHeight="1">
      <c r="A5" s="127" t="inlineStr">
        <is>
          <t>Name of Customer:</t>
        </is>
      </c>
      <c r="B5" s="172" t="n"/>
      <c r="C5" s="172" t="n"/>
      <c r="D5" s="125">
        <f>CP!D5</f>
        <v/>
      </c>
      <c r="E5" s="172" t="n"/>
      <c r="F5" s="172" t="n"/>
      <c r="G5" s="172" t="n"/>
    </row>
    <row r="6" ht="21" customHeight="1">
      <c r="A6" s="127" t="inlineStr">
        <is>
          <t>Job Location:</t>
        </is>
      </c>
      <c r="B6" s="172" t="n"/>
      <c r="C6" s="129">
        <f>CP!C6</f>
        <v/>
      </c>
      <c r="D6" s="172" t="n"/>
      <c r="E6" s="172" t="n"/>
      <c r="F6" s="172" t="n"/>
      <c r="G6" s="172" t="n"/>
    </row>
    <row r="7" ht="21" customHeight="1">
      <c r="A7" s="127" t="inlineStr">
        <is>
          <t>Owner:</t>
        </is>
      </c>
      <c r="B7" s="129">
        <f>CP!B7</f>
        <v/>
      </c>
      <c r="C7" s="172" t="n"/>
      <c r="D7" s="172" t="n"/>
      <c r="E7" s="172" t="n"/>
      <c r="F7" s="172" t="n"/>
      <c r="G7" s="172" t="n"/>
    </row>
    <row r="8" ht="21" customHeight="1">
      <c r="A8" s="127" t="inlineStr">
        <is>
          <t>Through Date:</t>
        </is>
      </c>
      <c r="B8" s="172" t="n"/>
      <c r="C8" s="146">
        <f>CP!C8</f>
        <v/>
      </c>
      <c r="D8" s="172" t="n"/>
      <c r="E8" s="172" t="n"/>
      <c r="F8" s="172" t="n"/>
      <c r="G8" s="172" t="n"/>
    </row>
    <row r="9" ht="21" customHeight="1" thickBot="1">
      <c r="A9" s="131" t="n"/>
      <c r="B9" s="185" t="n"/>
      <c r="C9" s="185" t="n"/>
      <c r="D9" s="185" t="n"/>
      <c r="E9" s="185" t="n"/>
      <c r="F9" s="185" t="n"/>
      <c r="G9" s="185" t="n"/>
    </row>
    <row r="10" ht="24.25" customHeight="1" thickTop="1">
      <c r="A10" s="132" t="inlineStr">
        <is>
          <t>Unconditional Waiver and Release</t>
        </is>
      </c>
      <c r="B10" s="186" t="n"/>
      <c r="C10" s="186" t="n"/>
      <c r="D10" s="186" t="n"/>
      <c r="E10" s="186" t="n"/>
      <c r="F10" s="186" t="n"/>
      <c r="G10" s="186" t="n"/>
    </row>
    <row r="11" ht="116.25" customHeight="1">
      <c r="A11" s="124" t="inlineStr">
        <is>
          <t>This document waives and releases lien, stop payment notice, and payment bond rights the claimant has for labor and service provided, and equipment and material delivered, to the customer on this job through the Through Date of this document. Rights based upon labor or service provided, or equipment or material delivered, pursuant to a written change order that has been fully executed by the parties prior to the date that this document is signed by the claimant, are waived and released by this document, unless listed as an Exception below. The claimant has received the following progress payment:</t>
        </is>
      </c>
    </row>
    <row r="12" ht="21" customHeight="1">
      <c r="A12" s="145" t="inlineStr">
        <is>
          <t>$</t>
        </is>
      </c>
      <c r="C12" s="147">
        <f>'702'!G30</f>
        <v/>
      </c>
      <c r="D12" s="189" t="n"/>
      <c r="E12" s="189" t="n"/>
      <c r="F12" s="189" t="n"/>
      <c r="G12" s="81" t="n"/>
    </row>
    <row r="13" ht="21" customHeight="1">
      <c r="A13" s="151" t="n"/>
      <c r="B13" s="189" t="n"/>
      <c r="C13" s="189" t="n"/>
      <c r="D13" s="189" t="n"/>
      <c r="E13" s="189" t="n"/>
      <c r="F13" s="189" t="n"/>
      <c r="G13" s="189" t="n"/>
    </row>
    <row r="14" ht="21" customHeight="1" thickBot="1">
      <c r="A14" s="136" t="n"/>
      <c r="B14" s="188" t="n"/>
      <c r="C14" s="188" t="n"/>
      <c r="D14" s="188" t="n"/>
      <c r="E14" s="188" t="n"/>
      <c r="F14" s="188" t="n"/>
      <c r="G14" s="188" t="n"/>
    </row>
    <row r="15" ht="21" customHeight="1" thickTop="1">
      <c r="A15" s="138" t="inlineStr">
        <is>
          <t>Exceptions</t>
        </is>
      </c>
      <c r="B15" s="186" t="n"/>
      <c r="C15" s="186" t="n"/>
      <c r="D15" s="186" t="n"/>
      <c r="E15" s="186" t="n"/>
      <c r="F15" s="186" t="n"/>
      <c r="G15" s="186" t="n"/>
    </row>
    <row r="16" ht="95.25" customHeight="1">
      <c r="A16" s="124" t="inlineStr">
        <is>
          <t>This document does not affect any of the following:
(1) Retentions.
(2) Extras for which the claimant has not received payment.
(3) Contract rights, including (A) a right based on rescission, abandonment, or breach of
contract, and (B) the right to recover compensation for work not compensated by the payment.</t>
        </is>
      </c>
    </row>
    <row r="17" ht="21" customHeight="1" thickBot="1">
      <c r="A17" s="136" t="n"/>
      <c r="B17" s="188" t="n"/>
      <c r="C17" s="188" t="n"/>
      <c r="D17" s="188" t="n"/>
      <c r="E17" s="188" t="n"/>
      <c r="F17" s="188" t="n"/>
      <c r="G17" s="188" t="n"/>
    </row>
    <row r="18" ht="21" customHeight="1" thickTop="1">
      <c r="A18" s="138" t="inlineStr">
        <is>
          <t>Signature</t>
        </is>
      </c>
      <c r="B18" s="186" t="n"/>
      <c r="C18" s="186" t="n"/>
      <c r="D18" s="186" t="n"/>
      <c r="E18" s="186" t="n"/>
      <c r="F18" s="186" t="n"/>
      <c r="G18" s="186" t="n"/>
    </row>
    <row r="19" ht="21" customHeight="1">
      <c r="A19" s="127" t="inlineStr">
        <is>
          <t>Claimant's Signature:</t>
        </is>
      </c>
      <c r="B19" s="172" t="n"/>
      <c r="C19" s="172" t="n"/>
      <c r="D19" s="172" t="n"/>
      <c r="E19" s="142" t="n"/>
      <c r="F19" s="172" t="n"/>
      <c r="G19" s="172" t="n"/>
    </row>
    <row r="20" ht="21" customHeight="1">
      <c r="A20" s="127" t="inlineStr">
        <is>
          <t xml:space="preserve">Claimant's Title: </t>
        </is>
      </c>
      <c r="B20" s="172" t="n"/>
      <c r="C20" s="172" t="n"/>
      <c r="D20" s="125">
        <f>CP!D24</f>
        <v/>
      </c>
      <c r="E20" s="172" t="n"/>
      <c r="F20" s="172" t="n"/>
      <c r="G20" s="172" t="n"/>
    </row>
    <row r="21" ht="21" customHeight="1">
      <c r="A21" s="140" t="inlineStr">
        <is>
          <t>Date of Signature:</t>
        </is>
      </c>
      <c r="B21" s="172" t="n"/>
      <c r="C21" s="172" t="n"/>
      <c r="D21" s="149">
        <f>'G703'!I4</f>
        <v/>
      </c>
      <c r="E21" s="172" t="n"/>
      <c r="F21" s="172" t="n"/>
      <c r="G21" s="172" t="n"/>
    </row>
  </sheetData>
  <mergeCells count="29">
    <mergeCell ref="A14:G14"/>
    <mergeCell ref="A17:G17"/>
    <mergeCell ref="E19:G19"/>
    <mergeCell ref="C6:G6"/>
    <mergeCell ref="A21:C21"/>
    <mergeCell ref="A19:D19"/>
    <mergeCell ref="D5:G5"/>
    <mergeCell ref="A6:B6"/>
    <mergeCell ref="A10:G10"/>
    <mergeCell ref="A13:G13"/>
    <mergeCell ref="A9:G9"/>
    <mergeCell ref="A5:C5"/>
    <mergeCell ref="D20:G20"/>
    <mergeCell ref="A15:G15"/>
    <mergeCell ref="A4:C4"/>
    <mergeCell ref="A20:C20"/>
    <mergeCell ref="A11:G11"/>
    <mergeCell ref="A12:B12"/>
    <mergeCell ref="A1:G1"/>
    <mergeCell ref="D21:G21"/>
    <mergeCell ref="A16:G16"/>
    <mergeCell ref="A8:B8"/>
    <mergeCell ref="C8:G8"/>
    <mergeCell ref="B7:G7"/>
    <mergeCell ref="A18:G18"/>
    <mergeCell ref="A3:G3"/>
    <mergeCell ref="C12:F12"/>
    <mergeCell ref="A2:G2"/>
    <mergeCell ref="D4:G4"/>
  </mergeCells>
  <pageMargins left="1" right="1" top="1" bottom="1" header="0.3" footer="0.3"/>
  <pageSetup orientation="portrait" scale="85" fitToHeight="0" horizontalDpi="1200" verticalDpi="1200"/>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G22"/>
  <sheetViews>
    <sheetView zoomScaleNormal="100" zoomScaleSheetLayoutView="140" workbookViewId="0">
      <selection activeCell="A8" sqref="A8:G8"/>
    </sheetView>
  </sheetViews>
  <sheetFormatPr baseColWidth="10" defaultColWidth="7.5" defaultRowHeight="13"/>
  <cols>
    <col width="9.5" customWidth="1" style="78" min="1" max="1"/>
    <col width="11.1640625" customWidth="1" style="78" min="2" max="2"/>
    <col width="3.1640625" customWidth="1" style="78" min="3" max="3"/>
    <col width="8.1640625" customWidth="1" style="78" min="4" max="4"/>
    <col width="8.83203125" customWidth="1" style="78" min="5" max="5"/>
    <col width="9.6640625" customWidth="1" style="78" min="6" max="6"/>
    <col width="47.1640625" customWidth="1" style="78" min="7" max="7"/>
    <col width="7.5" customWidth="1" style="78" min="8" max="16384"/>
  </cols>
  <sheetData>
    <row r="1" ht="26.5" customHeight="1">
      <c r="A1" s="133" t="inlineStr">
        <is>
          <t>CONDITIONAL WAIVER AND RELEASE ON FINAL PAYMENT</t>
        </is>
      </c>
    </row>
    <row r="2" ht="93.5" customHeight="1" thickBot="1">
      <c r="A2" s="133" t="inlineStr">
        <is>
          <t>NOTICE: THIS DOCUMENT WAIVES THE CLAIMANT'S LIEN, STOP PAYMENT NOTICE, AND PAYMENT BOND RIGHTS EFFECTIVE ON RECEIPT OF PAYMENT. A PERSON SHOULD NOT RELY ON THIS DOCUMENT UNLESS SATISFIED THAT THE CLAIMANT HAS RECEIVED PAYMENT.</t>
        </is>
      </c>
    </row>
    <row r="3" ht="21.75" customHeight="1" thickTop="1">
      <c r="A3" s="134" t="inlineStr">
        <is>
          <t>Identifying Information</t>
        </is>
      </c>
      <c r="B3" s="184" t="n"/>
      <c r="C3" s="184" t="n"/>
      <c r="D3" s="184" t="n"/>
      <c r="E3" s="184" t="n"/>
      <c r="F3" s="184" t="n"/>
      <c r="G3" s="184" t="n"/>
    </row>
    <row r="4" ht="21.75" customHeight="1">
      <c r="A4" s="127" t="inlineStr">
        <is>
          <t>Name of Claimant:</t>
        </is>
      </c>
      <c r="B4" s="172" t="n"/>
      <c r="C4" s="172" t="n"/>
      <c r="D4" s="125">
        <f>CP!D4</f>
        <v/>
      </c>
      <c r="E4" s="172" t="n"/>
      <c r="F4" s="172" t="n"/>
      <c r="G4" s="172" t="n"/>
    </row>
    <row r="5" ht="21.75" customHeight="1">
      <c r="A5" s="127" t="inlineStr">
        <is>
          <t>Name of Customer:</t>
        </is>
      </c>
      <c r="B5" s="172" t="n"/>
      <c r="C5" s="172" t="n"/>
      <c r="D5" s="125">
        <f>CP!D5</f>
        <v/>
      </c>
      <c r="E5" s="172" t="n"/>
      <c r="F5" s="172" t="n"/>
      <c r="G5" s="172" t="n"/>
    </row>
    <row r="6" ht="21.75" customHeight="1">
      <c r="A6" s="127" t="inlineStr">
        <is>
          <t>Job Location:</t>
        </is>
      </c>
      <c r="B6" s="172" t="n"/>
      <c r="C6" s="129">
        <f>CP!C6</f>
        <v/>
      </c>
      <c r="D6" s="172" t="n"/>
      <c r="E6" s="172" t="n"/>
      <c r="F6" s="172" t="n"/>
      <c r="G6" s="172" t="n"/>
    </row>
    <row r="7" ht="21.75" customHeight="1">
      <c r="A7" s="127" t="inlineStr">
        <is>
          <t>Owner:</t>
        </is>
      </c>
      <c r="B7" s="129">
        <f>CP!B7</f>
        <v/>
      </c>
      <c r="C7" s="172" t="n"/>
      <c r="D7" s="172" t="n"/>
      <c r="E7" s="172" t="n"/>
      <c r="F7" s="172" t="n"/>
      <c r="G7" s="172" t="n"/>
    </row>
    <row r="8" ht="21.75" customHeight="1" thickBot="1">
      <c r="A8" s="131" t="n"/>
      <c r="B8" s="185" t="n"/>
      <c r="C8" s="185" t="n"/>
      <c r="D8" s="185" t="n"/>
      <c r="E8" s="185" t="n"/>
      <c r="F8" s="185" t="n"/>
      <c r="G8" s="185" t="n"/>
    </row>
    <row r="9" ht="21.75" customHeight="1" thickTop="1">
      <c r="A9" s="132" t="inlineStr">
        <is>
          <t>Conditional Waiver and Release</t>
        </is>
      </c>
      <c r="B9" s="186" t="n"/>
      <c r="C9" s="186" t="n"/>
      <c r="D9" s="186" t="n"/>
      <c r="E9" s="186" t="n"/>
      <c r="F9" s="186" t="n"/>
      <c r="G9" s="186" t="n"/>
    </row>
    <row r="10" ht="126" customHeight="1">
      <c r="A10" s="124" t="inlineStr">
        <is>
          <t>This document waives and releases lien, stop payment notice, and payment bond rights the claimant has for labor and service provided, and equipment and material delivered, to the customer on this job. Rights based upon labor or service provided, or equipment or material delivered, pursuant to a written change order that has been fully executed by the parties prior to the date that this document is signed by the claimant, are waived and released by this document, unless listed as an Exception below. This document is effective only on the claimant's receipt of payment from the financial institution on which the following check is drawn:</t>
        </is>
      </c>
    </row>
    <row r="11" ht="21.75" customHeight="1">
      <c r="A11" s="128" t="inlineStr">
        <is>
          <t>Maker of Check:</t>
        </is>
      </c>
      <c r="B11" s="172" t="n"/>
      <c r="C11" s="125">
        <f>D5</f>
        <v/>
      </c>
      <c r="D11" s="172" t="n"/>
      <c r="E11" s="172" t="n"/>
      <c r="F11" s="172" t="n"/>
      <c r="G11" s="172" t="n"/>
    </row>
    <row r="12" ht="21.75" customHeight="1">
      <c r="A12" s="127" t="inlineStr">
        <is>
          <t>Amount of Check:</t>
        </is>
      </c>
      <c r="B12" s="172" t="n"/>
      <c r="C12" s="172" t="n"/>
      <c r="D12" s="187">
        <f>'702'!G30</f>
        <v/>
      </c>
      <c r="E12" s="172" t="n"/>
      <c r="F12" s="172" t="n"/>
      <c r="G12" s="172" t="n"/>
    </row>
    <row r="13" ht="21.75" customHeight="1">
      <c r="A13" s="140" t="inlineStr">
        <is>
          <t>Check Payable to:</t>
        </is>
      </c>
      <c r="B13" s="172" t="n"/>
      <c r="C13" s="172" t="n"/>
      <c r="D13" s="125">
        <f>D4</f>
        <v/>
      </c>
      <c r="E13" s="172" t="n"/>
      <c r="F13" s="172" t="n"/>
      <c r="G13" s="172" t="n"/>
    </row>
    <row r="14" ht="21.75" customHeight="1" thickBot="1">
      <c r="A14" s="136" t="n"/>
      <c r="B14" s="188" t="n"/>
      <c r="C14" s="188" t="n"/>
      <c r="D14" s="188" t="n"/>
      <c r="E14" s="188" t="n"/>
      <c r="F14" s="188" t="n"/>
      <c r="G14" s="188" t="n"/>
    </row>
    <row r="15" ht="21.75" customHeight="1" thickTop="1">
      <c r="A15" s="138" t="inlineStr">
        <is>
          <t>Exceptions</t>
        </is>
      </c>
      <c r="B15" s="186" t="n"/>
      <c r="C15" s="186" t="n"/>
      <c r="D15" s="186" t="n"/>
      <c r="E15" s="186" t="n"/>
      <c r="F15" s="186" t="n"/>
      <c r="G15" s="186" t="n"/>
    </row>
    <row r="16" ht="21.75" customHeight="1">
      <c r="A16" s="152" t="inlineStr">
        <is>
          <t>This document does not affect any of the following:</t>
        </is>
      </c>
      <c r="G16" s="83" t="n"/>
    </row>
    <row r="17" ht="21.75" customHeight="1">
      <c r="A17" s="152" t="inlineStr">
        <is>
          <t>Disputed claims for extras in the amount of:              $</t>
        </is>
      </c>
      <c r="G17" s="82" t="n"/>
    </row>
    <row r="18" ht="21.75" customHeight="1" thickBot="1">
      <c r="A18" s="136" t="n"/>
      <c r="B18" s="188" t="n"/>
      <c r="C18" s="188" t="n"/>
      <c r="D18" s="188" t="n"/>
      <c r="E18" s="188" t="n"/>
      <c r="F18" s="188" t="n"/>
      <c r="G18" s="188" t="n"/>
    </row>
    <row r="19" ht="21.75" customHeight="1" thickTop="1">
      <c r="A19" s="138" t="inlineStr">
        <is>
          <t>Signature</t>
        </is>
      </c>
      <c r="B19" s="186" t="n"/>
      <c r="C19" s="186" t="n"/>
      <c r="D19" s="186" t="n"/>
      <c r="E19" s="186" t="n"/>
      <c r="F19" s="186" t="n"/>
      <c r="G19" s="186" t="n"/>
    </row>
    <row r="20" ht="21.75" customHeight="1">
      <c r="A20" s="127" t="inlineStr">
        <is>
          <t>Claimant's Signature:</t>
        </is>
      </c>
      <c r="B20" s="172" t="n"/>
      <c r="C20" s="172" t="n"/>
      <c r="D20" s="172" t="n"/>
      <c r="E20" s="142" t="n"/>
      <c r="F20" s="172" t="n"/>
      <c r="G20" s="172" t="n"/>
    </row>
    <row r="21" ht="21.75" customHeight="1">
      <c r="A21" s="127" t="inlineStr">
        <is>
          <t xml:space="preserve">Claimant's Title: </t>
        </is>
      </c>
      <c r="B21" s="172" t="n"/>
      <c r="C21" s="172" t="n"/>
      <c r="D21" s="125" t="inlineStr">
        <is>
          <t>Project Executive</t>
        </is>
      </c>
      <c r="E21" s="172" t="n"/>
      <c r="F21" s="172" t="n"/>
      <c r="G21" s="172" t="n"/>
    </row>
    <row r="22" ht="21.75" customHeight="1">
      <c r="A22" s="140" t="inlineStr">
        <is>
          <t>Date of Signature:</t>
        </is>
      </c>
      <c r="B22" s="172" t="n"/>
      <c r="C22" s="172" t="n"/>
      <c r="D22" s="150" t="n"/>
      <c r="E22" s="172" t="n"/>
      <c r="F22" s="172" t="n"/>
      <c r="G22" s="172" t="n"/>
    </row>
  </sheetData>
  <mergeCells count="31">
    <mergeCell ref="A16:F16"/>
    <mergeCell ref="A14:G14"/>
    <mergeCell ref="C6:G6"/>
    <mergeCell ref="A8:G8"/>
    <mergeCell ref="D12:G12"/>
    <mergeCell ref="A11:B11"/>
    <mergeCell ref="A20:D20"/>
    <mergeCell ref="A21:C21"/>
    <mergeCell ref="A12:C12"/>
    <mergeCell ref="D5:G5"/>
    <mergeCell ref="A19:G19"/>
    <mergeCell ref="A6:B6"/>
    <mergeCell ref="A10:G10"/>
    <mergeCell ref="A9:G9"/>
    <mergeCell ref="A5:C5"/>
    <mergeCell ref="A22:C22"/>
    <mergeCell ref="A17:F17"/>
    <mergeCell ref="A15:G15"/>
    <mergeCell ref="A4:C4"/>
    <mergeCell ref="D22:G22"/>
    <mergeCell ref="A13:C13"/>
    <mergeCell ref="A1:G1"/>
    <mergeCell ref="C11:G11"/>
    <mergeCell ref="D21:G21"/>
    <mergeCell ref="D13:G13"/>
    <mergeCell ref="B7:G7"/>
    <mergeCell ref="A18:G18"/>
    <mergeCell ref="A3:G3"/>
    <mergeCell ref="A2:G2"/>
    <mergeCell ref="E20:G20"/>
    <mergeCell ref="D4:G4"/>
  </mergeCells>
  <pageMargins left="1" right="1" top="1" bottom="1" header="0.3" footer="0.3"/>
  <pageSetup orientation="portrait" scale="85" fitToHeight="0" horizontalDpi="1200" verticalDpi="1200"/>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G19"/>
  <sheetViews>
    <sheetView zoomScaleNormal="100" zoomScaleSheetLayoutView="170" workbookViewId="0">
      <selection activeCell="D5" sqref="D5:G5"/>
    </sheetView>
  </sheetViews>
  <sheetFormatPr baseColWidth="10" defaultColWidth="7.5" defaultRowHeight="13"/>
  <cols>
    <col width="10.6640625" customWidth="1" style="78" min="1" max="1"/>
    <col width="9.5" customWidth="1" style="78" min="2" max="2"/>
    <col width="4.33203125" customWidth="1" style="78" min="3" max="3"/>
    <col width="8.1640625" customWidth="1" style="78" min="4" max="4"/>
    <col width="8.83203125" customWidth="1" style="78" min="5" max="5"/>
    <col width="9.6640625" customWidth="1" style="78" min="6" max="6"/>
    <col width="47.1640625" customWidth="1" style="78" min="7" max="7"/>
    <col width="7.5" customWidth="1" style="78" min="8" max="16384"/>
  </cols>
  <sheetData>
    <row r="1" ht="33.25" customHeight="1">
      <c r="A1" s="143" t="inlineStr">
        <is>
          <t>UNCONDITIONAL WAIVER AND RELEASE ON FINAL PAYMENT</t>
        </is>
      </c>
    </row>
    <row r="2" ht="122.75" customHeight="1" thickBot="1">
      <c r="A2" s="144" t="inlineStr">
        <is>
          <t>NOTICE TO CLAIMANT: THIS DOCUMENT WAIVES AND RELEASES LIEN, STOP PAYMENT NOTICE, AND PAYMENT BOND RIGHTS UNCONDITIONALLY AND STATES THAT YOU HAVE BEEN PAID FOR GIVING UP THOSE RIGHTS. THIS DOCUMENT IS ENFORCEABLE AGAINST YOU IF YOU SIGN IT, EVEN IF YOU HAVE NOT BEEN PAID. IF YOU HAVE NOT BEEN PAID, USE A CONDITIONAL WAIVER AND RELEASE FORM.</t>
        </is>
      </c>
    </row>
    <row r="3" ht="21.75" customHeight="1" thickTop="1">
      <c r="A3" s="134" t="inlineStr">
        <is>
          <t>Identifying Information</t>
        </is>
      </c>
      <c r="B3" s="184" t="n"/>
      <c r="C3" s="184" t="n"/>
      <c r="D3" s="184" t="n"/>
      <c r="E3" s="184" t="n"/>
      <c r="F3" s="184" t="n"/>
      <c r="G3" s="184" t="n"/>
    </row>
    <row r="4" ht="21.75" customHeight="1">
      <c r="A4" s="127" t="inlineStr">
        <is>
          <t>Name of Claimant:</t>
        </is>
      </c>
      <c r="B4" s="172" t="n"/>
      <c r="C4" s="172" t="n"/>
      <c r="D4" s="125">
        <f>CP!D4</f>
        <v/>
      </c>
      <c r="E4" s="172" t="n"/>
      <c r="F4" s="172" t="n"/>
      <c r="G4" s="172" t="n"/>
    </row>
    <row r="5" ht="21.75" customHeight="1">
      <c r="A5" s="127" t="inlineStr">
        <is>
          <t>Name of Customer:</t>
        </is>
      </c>
      <c r="B5" s="172" t="n"/>
      <c r="C5" s="172" t="n"/>
      <c r="D5" s="125">
        <f>CP!D5</f>
        <v/>
      </c>
      <c r="E5" s="172" t="n"/>
      <c r="F5" s="172" t="n"/>
      <c r="G5" s="172" t="n"/>
    </row>
    <row r="6" ht="21.75" customHeight="1">
      <c r="A6" s="127" t="inlineStr">
        <is>
          <t>Job Location:</t>
        </is>
      </c>
      <c r="B6" s="172" t="n"/>
      <c r="C6" s="129">
        <f>CP!C6</f>
        <v/>
      </c>
      <c r="D6" s="172" t="n"/>
      <c r="E6" s="172" t="n"/>
      <c r="F6" s="172" t="n"/>
      <c r="G6" s="172" t="n"/>
    </row>
    <row r="7" ht="21.75" customHeight="1">
      <c r="A7" s="127" t="inlineStr">
        <is>
          <t>Owner:</t>
        </is>
      </c>
      <c r="B7" s="129">
        <f>CP!B7</f>
        <v/>
      </c>
      <c r="C7" s="172" t="n"/>
      <c r="D7" s="172" t="n"/>
      <c r="E7" s="172" t="n"/>
      <c r="F7" s="172" t="n"/>
      <c r="G7" s="172" t="n"/>
    </row>
    <row r="8" ht="21.75" customHeight="1" thickBot="1">
      <c r="A8" s="131" t="n"/>
      <c r="B8" s="185" t="n"/>
      <c r="C8" s="185" t="n"/>
      <c r="D8" s="185" t="n"/>
      <c r="E8" s="185" t="n"/>
      <c r="F8" s="185" t="n"/>
      <c r="G8" s="185" t="n"/>
    </row>
    <row r="9" ht="21.75" customHeight="1" thickTop="1">
      <c r="A9" s="132" t="inlineStr">
        <is>
          <t>Unconditional Waiver and Release</t>
        </is>
      </c>
      <c r="B9" s="186" t="n"/>
      <c r="C9" s="186" t="n"/>
      <c r="D9" s="186" t="n"/>
      <c r="E9" s="186" t="n"/>
      <c r="F9" s="186" t="n"/>
      <c r="G9" s="186" t="n"/>
    </row>
    <row r="10" ht="105" customHeight="1">
      <c r="A10" s="124" t="inlineStr">
        <is>
          <t>This document waives and releases lien, stop payment notice, and payment bond rights the claimant has for all labor and service provided, and equipment and material delivered, to the customer on this job. Rights based upon labor or service provided, or equipment or material delivered, pursuant to a written change order that has been fully executed by the parties prior to the date that this document is signed by the claimant, are waived and released by this document, unless listed as an Exception below. The claimant has been paid in full.</t>
        </is>
      </c>
    </row>
    <row r="11" ht="21" customHeight="1" thickBot="1">
      <c r="A11" s="136" t="n"/>
      <c r="B11" s="188" t="n"/>
      <c r="C11" s="188" t="n"/>
      <c r="D11" s="188" t="n"/>
      <c r="E11" s="188" t="n"/>
      <c r="F11" s="188" t="n"/>
      <c r="G11" s="188" t="n"/>
    </row>
    <row r="12" ht="21" customHeight="1" thickTop="1">
      <c r="A12" s="138" t="inlineStr">
        <is>
          <t>Exceptions</t>
        </is>
      </c>
      <c r="B12" s="186" t="n"/>
      <c r="C12" s="186" t="n"/>
      <c r="D12" s="186" t="n"/>
      <c r="E12" s="186" t="n"/>
      <c r="F12" s="186" t="n"/>
      <c r="G12" s="186" t="n"/>
    </row>
    <row r="13" ht="21.75" customHeight="1">
      <c r="A13" s="152" t="inlineStr">
        <is>
          <t>This document does not affect any of the following:</t>
        </is>
      </c>
      <c r="G13" s="83" t="n"/>
    </row>
    <row r="14" ht="21.75" customHeight="1">
      <c r="A14" s="152" t="inlineStr">
        <is>
          <t>Disputed claims for extras in the amount of:              $</t>
        </is>
      </c>
      <c r="G14" s="82" t="n"/>
    </row>
    <row r="15" ht="21" customHeight="1" thickBot="1">
      <c r="A15" s="136" t="n"/>
      <c r="B15" s="188" t="n"/>
      <c r="C15" s="188" t="n"/>
      <c r="D15" s="188" t="n"/>
      <c r="E15" s="188" t="n"/>
      <c r="F15" s="188" t="n"/>
      <c r="G15" s="188" t="n"/>
    </row>
    <row r="16" ht="21" customHeight="1" thickTop="1">
      <c r="A16" s="138" t="inlineStr">
        <is>
          <t>Signature</t>
        </is>
      </c>
      <c r="B16" s="186" t="n"/>
      <c r="C16" s="186" t="n"/>
      <c r="D16" s="186" t="n"/>
      <c r="E16" s="186" t="n"/>
      <c r="F16" s="186" t="n"/>
      <c r="G16" s="186" t="n"/>
    </row>
    <row r="17" ht="21.75" customHeight="1">
      <c r="A17" s="127" t="inlineStr">
        <is>
          <t>Claimant's Signature:</t>
        </is>
      </c>
      <c r="B17" s="172" t="n"/>
      <c r="C17" s="172" t="n"/>
      <c r="D17" s="172" t="n"/>
      <c r="E17" s="142" t="n"/>
      <c r="F17" s="172" t="n"/>
      <c r="G17" s="172" t="n"/>
    </row>
    <row r="18" ht="21.75" customHeight="1">
      <c r="A18" s="127" t="inlineStr">
        <is>
          <t xml:space="preserve">Claimant's Title: </t>
        </is>
      </c>
      <c r="B18" s="172" t="n"/>
      <c r="C18" s="172" t="n"/>
      <c r="D18" s="125">
        <f>CP!D24</f>
        <v/>
      </c>
      <c r="E18" s="172" t="n"/>
      <c r="F18" s="172" t="n"/>
      <c r="G18" s="172" t="n"/>
    </row>
    <row r="19" ht="21.75" customHeight="1">
      <c r="A19" s="140" t="inlineStr">
        <is>
          <t>Date of Signature:</t>
        </is>
      </c>
      <c r="B19" s="172" t="n"/>
      <c r="C19" s="172" t="n"/>
      <c r="D19" s="150" t="n"/>
      <c r="E19" s="172" t="n"/>
      <c r="F19" s="172" t="n"/>
      <c r="G19" s="172" t="n"/>
    </row>
  </sheetData>
  <mergeCells count="25">
    <mergeCell ref="A17:D17"/>
    <mergeCell ref="D18:G18"/>
    <mergeCell ref="C6:G6"/>
    <mergeCell ref="A8:G8"/>
    <mergeCell ref="A18:C18"/>
    <mergeCell ref="D5:G5"/>
    <mergeCell ref="A6:B6"/>
    <mergeCell ref="A10:G10"/>
    <mergeCell ref="A9:G9"/>
    <mergeCell ref="A5:C5"/>
    <mergeCell ref="A14:F14"/>
    <mergeCell ref="A15:G15"/>
    <mergeCell ref="D19:G19"/>
    <mergeCell ref="A4:C4"/>
    <mergeCell ref="A11:G11"/>
    <mergeCell ref="A19:C19"/>
    <mergeCell ref="A1:G1"/>
    <mergeCell ref="A13:F13"/>
    <mergeCell ref="A16:G16"/>
    <mergeCell ref="B7:G7"/>
    <mergeCell ref="A3:G3"/>
    <mergeCell ref="A12:G12"/>
    <mergeCell ref="E17:G17"/>
    <mergeCell ref="A2:G2"/>
    <mergeCell ref="D4:G4"/>
  </mergeCells>
  <pageMargins left="1" right="1" top="1" bottom="1" header="0.3" footer="0.3"/>
  <pageSetup orientation="portrait" scale="85" fitToHeight="0" horizontalDpi="1200" verticalDpi="1200"/>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41"/>
  <sheetViews>
    <sheetView topLeftCell="A10" zoomScale="130" zoomScaleNormal="130" zoomScaleSheetLayoutView="100" workbookViewId="0">
      <selection activeCell="F31" sqref="F31"/>
    </sheetView>
  </sheetViews>
  <sheetFormatPr baseColWidth="10" defaultColWidth="8.83203125" defaultRowHeight="13"/>
  <sheetData>
    <row r="1">
      <c r="H1" t="inlineStr">
        <is>
          <t xml:space="preserve"> </t>
        </is>
      </c>
    </row>
    <row r="3">
      <c r="A3" s="153" t="inlineStr">
        <is>
          <t>Preliminary Job Information</t>
        </is>
      </c>
      <c r="B3" s="153" t="n"/>
      <c r="C3" s="153" t="n"/>
      <c r="D3" s="153" t="n"/>
      <c r="E3" s="153" t="n"/>
      <c r="F3" s="153" t="n"/>
      <c r="G3" s="153" t="n"/>
      <c r="H3" s="153" t="n"/>
      <c r="I3" s="153" t="n"/>
      <c r="J3" s="153" t="n"/>
    </row>
    <row r="4" ht="5.25" customHeight="1">
      <c r="A4" s="95" t="n"/>
      <c r="B4" s="95" t="n"/>
      <c r="C4" s="95" t="n"/>
      <c r="D4" s="95" t="n"/>
      <c r="E4" s="95" t="n"/>
      <c r="F4" s="95" t="n"/>
      <c r="G4" s="95" t="n"/>
      <c r="H4" s="95" t="n"/>
      <c r="I4" s="95" t="n"/>
      <c r="J4" s="95" t="n"/>
    </row>
    <row r="5">
      <c r="A5" s="153" t="n"/>
      <c r="B5" s="153" t="n"/>
      <c r="C5" s="153" t="n"/>
      <c r="D5" s="153" t="n"/>
      <c r="E5" s="153" t="n"/>
      <c r="F5" s="153" t="n"/>
      <c r="G5" s="153" t="n"/>
      <c r="H5" s="153" t="n"/>
      <c r="I5" s="153" t="n"/>
      <c r="J5" s="153" t="n"/>
    </row>
    <row r="6">
      <c r="A6" s="153" t="n"/>
      <c r="B6" s="153" t="n"/>
      <c r="C6" s="153" t="n"/>
      <c r="D6" s="153" t="n"/>
      <c r="E6" s="153" t="n"/>
      <c r="F6" s="153" t="n"/>
      <c r="G6" s="153" t="n"/>
      <c r="H6" s="153" t="n"/>
      <c r="I6" s="153" t="n"/>
      <c r="J6" s="153" t="n"/>
    </row>
    <row r="7">
      <c r="A7" s="153" t="n"/>
      <c r="B7" s="153" t="n"/>
      <c r="C7" s="153" t="n"/>
      <c r="D7" s="153" t="n"/>
      <c r="E7" s="153" t="n"/>
      <c r="F7" s="153" t="n"/>
      <c r="G7" s="153" t="n"/>
      <c r="H7" s="153" t="n"/>
      <c r="I7" s="153" t="n"/>
      <c r="J7" s="153" t="n"/>
    </row>
    <row r="8">
      <c r="A8" s="153" t="n"/>
      <c r="B8" s="153" t="n"/>
      <c r="C8" s="153" t="n"/>
      <c r="D8" s="153" t="n"/>
      <c r="E8" s="153" t="n"/>
      <c r="F8" s="153" t="n"/>
      <c r="G8" s="153" t="n"/>
      <c r="H8" s="153" t="n"/>
      <c r="I8" s="153" t="n"/>
      <c r="J8" s="153" t="n"/>
    </row>
    <row r="9">
      <c r="A9" s="153" t="inlineStr">
        <is>
          <t xml:space="preserve">Owner:                            </t>
        </is>
      </c>
      <c r="E9" s="153" t="n"/>
      <c r="F9" s="96" t="inlineStr">
        <is>
          <t>716 Seagaze Affordable LP</t>
        </is>
      </c>
      <c r="G9" s="96" t="n"/>
      <c r="H9" s="96" t="n"/>
      <c r="I9" s="96" t="n"/>
      <c r="J9" s="96" t="n"/>
    </row>
    <row r="10">
      <c r="A10" s="153" t="n"/>
      <c r="B10" s="153" t="n"/>
      <c r="C10" s="153" t="n"/>
      <c r="D10" s="153" t="n"/>
      <c r="E10" s="153" t="n"/>
      <c r="F10" s="153" t="inlineStr">
        <is>
          <t>Address</t>
        </is>
      </c>
      <c r="G10" s="153" t="n"/>
      <c r="H10" s="153" t="n"/>
      <c r="I10" s="153" t="n"/>
      <c r="J10" s="153" t="n"/>
    </row>
    <row r="11">
      <c r="A11" s="153" t="n"/>
      <c r="B11" s="153" t="n"/>
      <c r="C11" s="153" t="n"/>
      <c r="D11" s="153" t="n"/>
      <c r="E11" s="153" t="n"/>
      <c r="F11" s="153" t="inlineStr">
        <is>
          <t>City, State Zip</t>
        </is>
      </c>
      <c r="G11" s="153" t="n"/>
      <c r="H11" s="153" t="n"/>
      <c r="I11" s="153" t="n"/>
      <c r="J11" s="153" t="n"/>
    </row>
    <row r="12">
      <c r="A12" s="153" t="n"/>
      <c r="B12" s="153" t="n"/>
      <c r="C12" s="153" t="n"/>
      <c r="D12" s="153" t="n"/>
      <c r="E12" s="153" t="n"/>
      <c r="F12" s="153" t="n"/>
      <c r="G12" s="153" t="n"/>
      <c r="H12" s="153" t="n"/>
      <c r="I12" s="153" t="n"/>
      <c r="J12" s="153" t="n"/>
    </row>
    <row r="13">
      <c r="A13" s="153" t="n"/>
      <c r="B13" s="153" t="n"/>
      <c r="C13" s="153" t="n"/>
      <c r="D13" s="153" t="n"/>
      <c r="E13" s="153" t="n"/>
      <c r="F13" s="153" t="n"/>
      <c r="G13" s="153" t="n"/>
      <c r="H13" s="153" t="n"/>
      <c r="I13" s="153" t="inlineStr">
        <is>
          <t xml:space="preserve"> </t>
        </is>
      </c>
      <c r="J13" s="153" t="n"/>
    </row>
    <row r="14">
      <c r="A14" s="153" t="inlineStr">
        <is>
          <t xml:space="preserve">General Contractor:                                       </t>
        </is>
      </c>
      <c r="E14" s="153" t="n"/>
      <c r="F14" s="96" t="inlineStr">
        <is>
          <t>Prime Built, LLC</t>
        </is>
      </c>
      <c r="G14" s="96" t="n"/>
      <c r="H14" s="96" t="n"/>
      <c r="I14" s="96" t="n"/>
      <c r="J14" s="96" t="n"/>
    </row>
    <row r="15">
      <c r="A15" s="153" t="n"/>
      <c r="B15" s="153" t="n"/>
      <c r="C15" s="153" t="n"/>
      <c r="D15" s="153" t="n"/>
      <c r="E15" s="153" t="n"/>
      <c r="F15" s="153" t="inlineStr">
        <is>
          <t xml:space="preserve">2021 Vanesta Pl A, </t>
        </is>
      </c>
      <c r="G15" s="153" t="n"/>
      <c r="H15" s="153" t="n"/>
      <c r="I15" s="153" t="n"/>
      <c r="J15" s="153" t="n"/>
    </row>
    <row r="16">
      <c r="A16" s="153" t="n"/>
      <c r="B16" s="153" t="n"/>
      <c r="C16" s="153" t="n"/>
      <c r="D16" s="153" t="n"/>
      <c r="E16" s="153" t="n"/>
      <c r="F16" s="153" t="inlineStr">
        <is>
          <t>Manhattan, KS 66503</t>
        </is>
      </c>
      <c r="G16" s="153" t="n"/>
      <c r="H16" s="153" t="n"/>
      <c r="I16" s="153" t="n"/>
      <c r="J16" s="153" t="n"/>
    </row>
    <row r="17">
      <c r="A17" s="153" t="n"/>
      <c r="B17" s="153" t="n"/>
      <c r="C17" s="153" t="n"/>
      <c r="D17" s="153" t="n"/>
      <c r="E17" s="153" t="n"/>
      <c r="F17" s="153" t="n"/>
      <c r="G17" s="153" t="n"/>
      <c r="H17" s="153" t="n"/>
      <c r="I17" s="153" t="n"/>
      <c r="J17" s="153" t="n"/>
    </row>
    <row r="18">
      <c r="A18" s="153" t="n"/>
      <c r="B18" s="153" t="n"/>
      <c r="C18" s="153" t="n"/>
      <c r="D18" s="153" t="n"/>
      <c r="E18" s="153" t="n"/>
      <c r="F18" s="153" t="n"/>
      <c r="G18" s="153" t="n"/>
      <c r="H18" s="153" t="n"/>
      <c r="I18" s="153" t="n"/>
      <c r="J18" s="153" t="n"/>
    </row>
    <row r="19">
      <c r="A19" s="153" t="inlineStr">
        <is>
          <t xml:space="preserve">Subcontractor: </t>
        </is>
      </c>
      <c r="E19" s="153" t="n"/>
      <c r="F19" s="96" t="inlineStr">
        <is>
          <t>Ferrocrete Builders, Inc.</t>
        </is>
      </c>
      <c r="G19" s="96" t="n"/>
      <c r="H19" s="96" t="n"/>
      <c r="I19" s="96" t="n"/>
      <c r="J19" s="96" t="n"/>
    </row>
    <row r="20">
      <c r="A20" s="153" t="n"/>
      <c r="B20" s="153" t="n"/>
      <c r="C20" s="153" t="n"/>
      <c r="D20" s="153" t="n"/>
      <c r="E20" s="153" t="n"/>
      <c r="F20" s="153" t="inlineStr">
        <is>
          <t>440 Western Ave. Suite 203</t>
        </is>
      </c>
      <c r="G20" s="153" t="n"/>
      <c r="H20" s="153" t="n"/>
      <c r="I20" s="153" t="n"/>
      <c r="J20" s="153" t="n"/>
    </row>
    <row r="21">
      <c r="A21" s="153" t="n"/>
      <c r="B21" s="153" t="n"/>
      <c r="C21" s="153" t="n"/>
      <c r="D21" s="153" t="n"/>
      <c r="E21" s="153" t="n"/>
      <c r="F21" s="153" t="inlineStr">
        <is>
          <t>Glendale, CA 91204</t>
        </is>
      </c>
      <c r="G21" s="153" t="n"/>
      <c r="H21" s="153" t="n"/>
      <c r="I21" s="153" t="n"/>
      <c r="J21" s="153" t="n"/>
    </row>
    <row r="22">
      <c r="A22" s="153" t="n"/>
      <c r="B22" s="153" t="n"/>
      <c r="C22" s="153" t="n"/>
      <c r="D22" s="153" t="n"/>
      <c r="E22" s="153" t="n"/>
      <c r="F22" s="153" t="n"/>
      <c r="G22" s="153" t="n"/>
      <c r="H22" s="153" t="n"/>
      <c r="I22" s="153" t="inlineStr">
        <is>
          <t xml:space="preserve"> </t>
        </is>
      </c>
      <c r="J22" s="153" t="n"/>
    </row>
    <row r="23">
      <c r="A23" s="153" t="n"/>
      <c r="B23" s="153" t="n"/>
      <c r="C23" s="153" t="n"/>
      <c r="D23" s="153" t="n"/>
      <c r="E23" s="153" t="n"/>
      <c r="F23" s="153" t="n"/>
      <c r="G23" s="153" t="n"/>
      <c r="H23" s="153" t="n"/>
      <c r="I23" s="153" t="n"/>
      <c r="J23" s="153" t="n"/>
      <c r="N23" t="inlineStr">
        <is>
          <t xml:space="preserve"> </t>
        </is>
      </c>
    </row>
    <row r="24">
      <c r="A24" s="153" t="inlineStr">
        <is>
          <t xml:space="preserve">Lender: </t>
        </is>
      </c>
      <c r="E24" s="153" t="n"/>
      <c r="F24" s="96" t="inlineStr">
        <is>
          <t>N/A</t>
        </is>
      </c>
      <c r="G24" s="96" t="n"/>
      <c r="H24" s="153" t="n"/>
      <c r="I24" s="96" t="n"/>
      <c r="J24" s="96" t="n"/>
    </row>
    <row r="25">
      <c r="A25" s="153" t="n"/>
      <c r="B25" s="153" t="n"/>
      <c r="C25" s="153" t="n"/>
      <c r="D25" s="153" t="n"/>
      <c r="E25" s="153" t="n"/>
      <c r="F25" s="153" t="n"/>
      <c r="G25" s="153" t="n"/>
      <c r="H25" s="153" t="n"/>
      <c r="I25" s="153" t="n"/>
      <c r="J25" s="153" t="n"/>
    </row>
    <row r="26">
      <c r="A26" s="153" t="n"/>
      <c r="B26" s="153" t="n"/>
      <c r="C26" s="153" t="n"/>
      <c r="D26" s="153" t="n"/>
      <c r="E26" s="153" t="n"/>
      <c r="F26" s="153" t="n"/>
      <c r="G26" s="153" t="n"/>
      <c r="H26" s="153" t="n"/>
      <c r="I26" s="153" t="n"/>
      <c r="J26" s="153" t="n"/>
    </row>
    <row r="27">
      <c r="A27" s="153" t="n"/>
      <c r="B27" s="153" t="n"/>
      <c r="C27" s="153" t="n"/>
      <c r="D27" s="153" t="n"/>
      <c r="E27" s="153" t="n"/>
      <c r="F27" s="153" t="n"/>
      <c r="G27" s="153" t="n"/>
      <c r="H27" s="153" t="n"/>
      <c r="I27" s="153" t="n"/>
      <c r="J27" s="153" t="n"/>
    </row>
    <row r="28">
      <c r="A28" s="153" t="n"/>
      <c r="B28" s="153" t="n"/>
      <c r="C28" s="153" t="n"/>
      <c r="D28" s="153" t="n"/>
      <c r="E28" s="153" t="n"/>
      <c r="F28" s="153" t="n"/>
      <c r="G28" s="153" t="n"/>
      <c r="H28" s="153" t="n"/>
      <c r="I28" s="153" t="n"/>
      <c r="J28" s="153" t="n"/>
    </row>
    <row r="29">
      <c r="A29" s="154" t="inlineStr">
        <is>
          <t>Job:</t>
        </is>
      </c>
      <c r="E29" s="153" t="n"/>
      <c r="F29" s="96" t="inlineStr">
        <is>
          <t>712 Seagaze</t>
        </is>
      </c>
      <c r="G29" s="96" t="n"/>
      <c r="H29" s="96" t="n"/>
      <c r="I29" s="96" t="n"/>
      <c r="J29" s="96" t="n"/>
    </row>
    <row r="30">
      <c r="A30" s="153" t="n"/>
      <c r="B30" s="153" t="n"/>
      <c r="C30" s="153" t="n"/>
      <c r="D30" s="153" t="n"/>
      <c r="E30" s="153" t="n"/>
      <c r="F30" s="153" t="inlineStr">
        <is>
          <t xml:space="preserve">712 Seagaze Dr. </t>
        </is>
      </c>
      <c r="G30" s="153" t="n"/>
      <c r="H30" s="153" t="n"/>
      <c r="I30" s="153" t="n"/>
      <c r="J30" s="153" t="n"/>
    </row>
    <row r="31">
      <c r="A31" s="153" t="n"/>
      <c r="B31" s="153" t="n"/>
      <c r="C31" s="153" t="n"/>
      <c r="D31" s="153" t="n"/>
      <c r="E31" s="153" t="n"/>
      <c r="F31" s="153" t="inlineStr">
        <is>
          <t>Oceanside, CA 92054</t>
        </is>
      </c>
      <c r="G31" s="153" t="n"/>
      <c r="H31" s="153" t="n"/>
      <c r="I31" s="153" t="n"/>
      <c r="J31" s="153" t="n"/>
    </row>
    <row r="32">
      <c r="A32" s="153" t="n"/>
      <c r="B32" s="153" t="n"/>
      <c r="C32" s="153" t="n"/>
      <c r="D32" s="153" t="n"/>
      <c r="E32" s="153" t="n"/>
      <c r="F32" s="153" t="n"/>
      <c r="G32" s="153" t="n"/>
      <c r="H32" s="153" t="n"/>
      <c r="I32" s="153" t="n"/>
      <c r="J32" s="153" t="n"/>
    </row>
    <row r="33">
      <c r="A33" s="153" t="n"/>
      <c r="B33" s="153" t="n"/>
      <c r="C33" s="153" t="n"/>
      <c r="D33" s="153" t="n"/>
      <c r="E33" s="153" t="n"/>
      <c r="F33" s="153" t="n"/>
      <c r="G33" s="153" t="n"/>
      <c r="H33" s="153" t="n"/>
      <c r="I33" s="153" t="n"/>
      <c r="J33" s="153" t="n"/>
    </row>
    <row r="34">
      <c r="A34" s="153" t="inlineStr">
        <is>
          <t xml:space="preserve">Job Description:                                                </t>
        </is>
      </c>
      <c r="E34" s="153" t="n"/>
      <c r="F34" s="153" t="inlineStr">
        <is>
          <t>Ferrocrete Builders, Inc., to furnish complete.</t>
        </is>
      </c>
    </row>
    <row r="35">
      <c r="A35" s="153" t="n"/>
      <c r="B35" s="153" t="n"/>
      <c r="C35" s="153" t="n"/>
      <c r="D35" s="153" t="n"/>
      <c r="E35" s="153" t="n"/>
      <c r="F35" s="153" t="inlineStr">
        <is>
          <t xml:space="preserve">materials and labor services to complete the </t>
        </is>
      </c>
    </row>
    <row r="36">
      <c r="A36" s="153" t="n"/>
      <c r="B36" s="153" t="n"/>
      <c r="C36" s="153" t="n"/>
      <c r="D36" s="153" t="n"/>
      <c r="E36" s="153" t="n"/>
      <c r="F36" s="153" t="inlineStr">
        <is>
          <t xml:space="preserve">structural concrete and masonry work at the </t>
        </is>
      </c>
    </row>
    <row r="37">
      <c r="F37" s="153" t="inlineStr">
        <is>
          <t>address listed above.</t>
        </is>
      </c>
    </row>
    <row r="41">
      <c r="O41" t="inlineStr">
        <is>
          <t xml:space="preserve"> </t>
        </is>
      </c>
    </row>
  </sheetData>
  <mergeCells count="10">
    <mergeCell ref="A9:D9"/>
    <mergeCell ref="F37:J37"/>
    <mergeCell ref="A34:D34"/>
    <mergeCell ref="F34:J34"/>
    <mergeCell ref="F36:J36"/>
    <mergeCell ref="A29:D29"/>
    <mergeCell ref="A24:D24"/>
    <mergeCell ref="A19:D19"/>
    <mergeCell ref="F35:J35"/>
    <mergeCell ref="A14:D14"/>
  </mergeCells>
  <pageMargins left="0.7" right="0.7" top="0.5" bottom="0.75" header="0.3" footer="0.3"/>
  <pageSetup orientation="portrait" scale="96"/>
  <headerFooter>
    <oddHeader/>
    <oddFooter>&amp;C440 Western Ave. Suite 203 Glendale, CA 91201_x000a_818.945.5701_x000a_www.FerrocreteBuilders.com</oddFooter>
    <evenHeader/>
    <evenFooter/>
    <firstHeader/>
    <firstFooter/>
  </headerFooter>
  <colBreaks count="1" manualBreakCount="1">
    <brk id="10"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John Milan Gross</dc:creator>
  <dc:title xmlns:dc="http://purl.org/dc/elements/1.1/">AIA Invoice</dc:title>
  <dc:description xmlns:dc="http://purl.org/dc/elements/1.1/">Combination of AIA documents G702 and G703. No changes made to format. Some formulas and inter-sheet references added.</dc:description>
  <dc:subject xmlns:dc="http://purl.org/dc/elements/1.1/">Application and Certification for Payment</dc:subject>
  <dcterms:created xmlns:dcterms="http://purl.org/dc/terms/" xmlns:xsi="http://www.w3.org/2001/XMLSchema-instance" xsi:type="dcterms:W3CDTF">2000-07-24T18:31:19Z</dcterms:created>
  <dcterms:modified xmlns:dcterms="http://purl.org/dc/terms/" xmlns:xsi="http://www.w3.org/2001/XMLSchema-instance" xsi:type="dcterms:W3CDTF">2026-05-07T17:27:03Z</dcterms:modified>
  <cp:lastModifiedBy>raz danoukh</cp:lastModifiedBy>
  <cp:lastPrinted>2026-04-29T16:45:02Z</cp:lastPrinted>
</cp:coreProperties>
</file>